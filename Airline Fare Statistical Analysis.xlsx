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/>
  <xr:revisionPtr revIDLastSave="0" documentId="13_ncr:1_{CFEB0B4C-F0B8-4AC2-A6CF-1FE86289E4B7}" xr6:coauthVersionLast="47" xr6:coauthVersionMax="47" xr10:uidLastSave="{00000000-0000-0000-0000-000000000000}"/>
  <bookViews>
    <workbookView xWindow="-108" yWindow="-108" windowWidth="23256" windowHeight="12456" activeTab="3" xr2:uid="{B2C57E71-2B4D-4C88-8647-3D6110A47D79}"/>
  </bookViews>
  <sheets>
    <sheet name="DAL to MIA" sheetId="1" r:id="rId1"/>
    <sheet name="MIA to DAL" sheetId="2" r:id="rId2"/>
    <sheet name="1) Confidence Interval" sheetId="3" r:id="rId3"/>
    <sheet name="2) T-Test" sheetId="4" r:id="rId4"/>
  </sheets>
  <definedNames>
    <definedName name="_xlnm._FilterDatabase" localSheetId="1" hidden="1">'MIA to DAL'!$A$1:$U$1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4" l="1"/>
  <c r="B19" i="4" s="1"/>
  <c r="C10" i="4"/>
  <c r="B10" i="4"/>
  <c r="C9" i="4"/>
  <c r="B9" i="4"/>
  <c r="C8" i="4"/>
  <c r="B8" i="4"/>
  <c r="B5" i="3"/>
  <c r="B4" i="3"/>
  <c r="B3" i="3"/>
  <c r="B8" i="3" l="1"/>
  <c r="B9" i="3" s="1"/>
  <c r="B12" i="4"/>
  <c r="B15" i="4"/>
  <c r="B10" i="3"/>
  <c r="B11" i="3"/>
  <c r="B13" i="4"/>
  <c r="B14" i="4" l="1"/>
  <c r="B16" i="4" s="1"/>
</calcChain>
</file>

<file path=xl/sharedStrings.xml><?xml version="1.0" encoding="utf-8"?>
<sst xmlns="http://schemas.openxmlformats.org/spreadsheetml/2006/main" count="5326" uniqueCount="86">
  <si>
    <t>Year</t>
  </si>
  <si>
    <t>quarter</t>
  </si>
  <si>
    <t>citymarketid_1</t>
  </si>
  <si>
    <t>citymarketid_2</t>
  </si>
  <si>
    <t>city1</t>
  </si>
  <si>
    <t>city2</t>
  </si>
  <si>
    <t>airportid_1</t>
  </si>
  <si>
    <t>airportid_2</t>
  </si>
  <si>
    <t>airport_1</t>
  </si>
  <si>
    <t>airport_2</t>
  </si>
  <si>
    <t>nsmiles</t>
  </si>
  <si>
    <t>passengers</t>
  </si>
  <si>
    <t>fare</t>
  </si>
  <si>
    <t>carrier_lg</t>
  </si>
  <si>
    <t>large_ms</t>
  </si>
  <si>
    <t>fare_lg</t>
  </si>
  <si>
    <t>carrier_low</t>
  </si>
  <si>
    <t>lf_ms</t>
  </si>
  <si>
    <t>fare_low</t>
  </si>
  <si>
    <t>Geocoded_City1</t>
  </si>
  <si>
    <t>Geocoded_City2</t>
  </si>
  <si>
    <t>Dallas/Fort Worth, TX</t>
  </si>
  <si>
    <t>Miami, FL (Metropolitan Area)</t>
  </si>
  <si>
    <t>DAL</t>
  </si>
  <si>
    <t>FLL</t>
  </si>
  <si>
    <t>WN</t>
  </si>
  <si>
    <t>MIA</t>
  </si>
  <si>
    <t>DFW</t>
  </si>
  <si>
    <t>AA</t>
  </si>
  <si>
    <t>NK</t>
  </si>
  <si>
    <t>F9</t>
  </si>
  <si>
    <t>DL</t>
  </si>
  <si>
    <t>CO</t>
  </si>
  <si>
    <t>Dallas/Fort Worth, TX
(40.11086, -77.035636)</t>
  </si>
  <si>
    <t>Miami, FL (Metropolitan Area)
(44.977479, -93.264346)</t>
  </si>
  <si>
    <t>FL</t>
  </si>
  <si>
    <t>NW</t>
  </si>
  <si>
    <t>UA</t>
  </si>
  <si>
    <t>US</t>
  </si>
  <si>
    <t>(40.11086, -77.035636)</t>
  </si>
  <si>
    <t>(44.977479, -93.264346)</t>
  </si>
  <si>
    <t>Milwaukee, WI
(43.041072, -87.909421)</t>
  </si>
  <si>
    <t>YX</t>
  </si>
  <si>
    <t>TW</t>
  </si>
  <si>
    <t>TZ</t>
  </si>
  <si>
    <t>(43.041072, -87.909421)</t>
  </si>
  <si>
    <t>Sample Mean</t>
  </si>
  <si>
    <t>Sample Standard Deviation</t>
  </si>
  <si>
    <t>Sample Size</t>
  </si>
  <si>
    <t>Standard Error</t>
  </si>
  <si>
    <t>Margin of Error</t>
  </si>
  <si>
    <t>Lower Limit</t>
  </si>
  <si>
    <t>Upper Limit</t>
  </si>
  <si>
    <t>Null hypothesis, H₀</t>
  </si>
  <si>
    <t>Alternative hypothesis, H₁</t>
  </si>
  <si>
    <t>Statistic</t>
  </si>
  <si>
    <t>MIA to DAL</t>
  </si>
  <si>
    <t>DAL to MIA</t>
  </si>
  <si>
    <t>Mean</t>
  </si>
  <si>
    <t>Standard Deviation</t>
  </si>
  <si>
    <t>Difference in mean</t>
  </si>
  <si>
    <t>t Statistic</t>
  </si>
  <si>
    <t>Degrees of Freedom</t>
  </si>
  <si>
    <t>Alpha</t>
  </si>
  <si>
    <t>Decision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</si>
  <si>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</si>
  <si>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</si>
  <si>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</si>
  <si>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</si>
  <si>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</si>
  <si>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</si>
  <si>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</si>
  <si>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</si>
  <si>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</si>
  <si>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</si>
  <si>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Sample Size (n)</t>
  </si>
  <si>
    <t>Critical Value (z)</t>
  </si>
  <si>
    <t>Confidence level</t>
  </si>
  <si>
    <t>95% Confidence Interval for MIA to DAL</t>
  </si>
  <si>
    <t>Part 1</t>
  </si>
  <si>
    <t>Part 2</t>
  </si>
  <si>
    <t xml:space="preserve">Two-Sample t-Test </t>
  </si>
  <si>
    <t>The mean MIA to DAL fare equals the mean DAL to MIA fare.</t>
  </si>
  <si>
    <t>The mean MIA to DAL fare is not equal the mean DAL to MIA fare.</t>
  </si>
  <si>
    <t>Manual p-value</t>
  </si>
  <si>
    <t>T.TEST 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</si>
</sst>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%"/>
    <numFmt numFmtId="166" formatCode="0.000E+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1F1F1F"/>
      <name val="Times New Roman"/>
      <family val="1"/>
    </font>
    <font>
      <sz val="10"/>
      <name val="Times New Roman"/>
      <family val="1"/>
    </font>
    <font>
      <i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3" xfId="0" applyFont="1" applyBorder="1"/>
    <xf numFmtId="0" fontId="1" fillId="0" borderId="5" xfId="0" applyFont="1" applyBorder="1"/>
    <xf numFmtId="0" fontId="2" fillId="0" borderId="12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4" xfId="0" applyNumberFormat="1" applyFont="1" applyBorder="1"/>
    <xf numFmtId="2" fontId="1" fillId="0" borderId="4" xfId="0" applyNumberFormat="1" applyFont="1" applyBorder="1"/>
    <xf numFmtId="2" fontId="1" fillId="0" borderId="2" xfId="0" applyNumberFormat="1" applyFont="1" applyBorder="1"/>
    <xf numFmtId="0" fontId="1" fillId="3" borderId="1" xfId="0" applyFont="1" applyFill="1" applyBorder="1" applyAlignment="1">
      <alignment vertical="center"/>
    </xf>
    <xf numFmtId="2" fontId="1" fillId="3" borderId="2" xfId="0" applyNumberFormat="1" applyFont="1" applyFill="1" applyBorder="1"/>
    <xf numFmtId="0" fontId="1" fillId="3" borderId="3" xfId="0" applyFont="1" applyFill="1" applyBorder="1" applyAlignment="1">
      <alignment vertical="center"/>
    </xf>
    <xf numFmtId="2" fontId="1" fillId="3" borderId="4" xfId="0" applyNumberFormat="1" applyFont="1" applyFill="1" applyBorder="1"/>
    <xf numFmtId="0" fontId="1" fillId="3" borderId="4" xfId="0" applyFont="1" applyFill="1" applyBorder="1"/>
    <xf numFmtId="0" fontId="3" fillId="3" borderId="3" xfId="0" applyFont="1" applyFill="1" applyBorder="1" applyAlignment="1">
      <alignment vertical="center" wrapText="1"/>
    </xf>
    <xf numFmtId="165" fontId="4" fillId="3" borderId="4" xfId="0" applyNumberFormat="1" applyFont="1" applyFill="1" applyBorder="1" applyAlignment="1">
      <alignment vertical="center" wrapText="1"/>
    </xf>
    <xf numFmtId="0" fontId="1" fillId="4" borderId="3" xfId="0" applyFont="1" applyFill="1" applyBorder="1" applyAlignment="1">
      <alignment vertical="center"/>
    </xf>
    <xf numFmtId="0" fontId="1" fillId="4" borderId="5" xfId="0" applyFont="1" applyFill="1" applyBorder="1" applyAlignment="1">
      <alignment vertical="center"/>
    </xf>
    <xf numFmtId="2" fontId="1" fillId="3" borderId="22" xfId="0" applyNumberFormat="1" applyFont="1" applyFill="1" applyBorder="1" applyAlignment="1">
      <alignment horizontal="center"/>
    </xf>
    <xf numFmtId="2" fontId="1" fillId="3" borderId="23" xfId="0" applyNumberFormat="1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2" fontId="1" fillId="3" borderId="25" xfId="0" applyNumberFormat="1" applyFont="1" applyFill="1" applyBorder="1" applyAlignment="1">
      <alignment horizontal="center"/>
    </xf>
    <xf numFmtId="2" fontId="1" fillId="3" borderId="26" xfId="0" applyNumberFormat="1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2" fillId="0" borderId="16" xfId="0" applyFont="1" applyBorder="1"/>
    <xf numFmtId="0" fontId="2" fillId="0" borderId="28" xfId="0" applyFont="1" applyBorder="1"/>
    <xf numFmtId="0" fontId="1" fillId="4" borderId="20" xfId="0" applyFont="1" applyFill="1" applyBorder="1"/>
    <xf numFmtId="0" fontId="1" fillId="4" borderId="21" xfId="0" applyFont="1" applyFill="1" applyBorder="1"/>
    <xf numFmtId="0" fontId="1" fillId="4" borderId="7" xfId="0" applyFont="1" applyFill="1" applyBorder="1"/>
    <xf numFmtId="0" fontId="1" fillId="0" borderId="4" xfId="0" applyFont="1" applyBorder="1"/>
    <xf numFmtId="2" fontId="2" fillId="4" borderId="4" xfId="0" applyNumberFormat="1" applyFont="1" applyFill="1" applyBorder="1"/>
    <xf numFmtId="2" fontId="2" fillId="4" borderId="7" xfId="0" applyNumberFormat="1" applyFont="1" applyFill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66" fontId="1" fillId="4" borderId="4" xfId="0" applyNumberFormat="1" applyFont="1" applyFill="1" applyBorder="1"/>
    <xf numFmtId="0" fontId="5" fillId="0" borderId="15" xfId="0" applyFont="1" applyBorder="1" applyAlignment="1">
      <alignment horizontal="center"/>
    </xf>
    <xf numFmtId="2" fontId="1" fillId="0" borderId="0" xfId="0" applyNumberFormat="1" applyFont="1"/>
    <xf numFmtId="164" fontId="1" fillId="0" borderId="0" xfId="0" applyNumberFormat="1" applyFont="1"/>
    <xf numFmtId="0" fontId="1" fillId="4" borderId="0" xfId="0" applyFont="1" applyFill="1"/>
    <xf numFmtId="0" fontId="1" fillId="0" borderId="6" xfId="0" applyFont="1" applyBorder="1"/>
    <xf numFmtId="164" fontId="1" fillId="0" borderId="6" xfId="0" applyNumberFormat="1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6" fontId="1" fillId="4" borderId="0" xfId="0" applyNumberFormat="1" applyFont="1" applyFill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F771A-F1AD-4EE7-885C-64D171D7A3CB}">
  <dimension ref="A1:U452"/>
  <sheetViews>
    <sheetView zoomScale="80" zoomScaleNormal="80" workbookViewId="0">
      <selection activeCell="X25" sqref="X25"/>
    </sheetView>
  </sheetViews>
  <sheetFormatPr defaultRowHeight="14.4" x14ac:dyDescent="0.3"/>
  <cols>
    <col min="20" max="20" width="14.109375" customWidth="1"/>
    <col min="21" max="21" width="16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2021</v>
      </c>
      <c r="B2">
        <v>3</v>
      </c>
      <c r="C2">
        <v>30194</v>
      </c>
      <c r="D2">
        <v>32467</v>
      </c>
      <c r="E2" t="s">
        <v>21</v>
      </c>
      <c r="F2" t="s">
        <v>22</v>
      </c>
      <c r="G2">
        <v>11259</v>
      </c>
      <c r="H2">
        <v>11697</v>
      </c>
      <c r="I2" t="s">
        <v>23</v>
      </c>
      <c r="J2" t="s">
        <v>24</v>
      </c>
      <c r="K2">
        <v>1121</v>
      </c>
      <c r="L2">
        <v>388</v>
      </c>
      <c r="M2">
        <v>136.06</v>
      </c>
      <c r="N2" t="s">
        <v>25</v>
      </c>
      <c r="O2">
        <v>0.98819999999999997</v>
      </c>
      <c r="P2">
        <v>135.41</v>
      </c>
      <c r="Q2" t="s">
        <v>25</v>
      </c>
      <c r="R2">
        <v>0.98819999999999997</v>
      </c>
      <c r="S2">
        <v>135.41</v>
      </c>
    </row>
    <row r="3" spans="1:21" x14ac:dyDescent="0.3">
      <c r="A3">
        <v>2021</v>
      </c>
      <c r="B3">
        <v>3</v>
      </c>
      <c r="C3">
        <v>30194</v>
      </c>
      <c r="D3">
        <v>32467</v>
      </c>
      <c r="E3" t="s">
        <v>21</v>
      </c>
      <c r="F3" t="s">
        <v>22</v>
      </c>
      <c r="G3">
        <v>11259</v>
      </c>
      <c r="H3">
        <v>13303</v>
      </c>
      <c r="I3" t="s">
        <v>23</v>
      </c>
      <c r="J3" t="s">
        <v>26</v>
      </c>
      <c r="K3">
        <v>1121</v>
      </c>
      <c r="L3">
        <v>220</v>
      </c>
      <c r="M3">
        <v>151.06</v>
      </c>
      <c r="N3" t="s">
        <v>25</v>
      </c>
      <c r="O3">
        <v>0.96289999999999998</v>
      </c>
      <c r="P3">
        <v>150.44999999999999</v>
      </c>
      <c r="Q3" t="s">
        <v>25</v>
      </c>
      <c r="R3">
        <v>0.96289999999999998</v>
      </c>
      <c r="S3">
        <v>150.44999999999999</v>
      </c>
    </row>
    <row r="4" spans="1:21" x14ac:dyDescent="0.3">
      <c r="A4">
        <v>2021</v>
      </c>
      <c r="B4">
        <v>3</v>
      </c>
      <c r="C4">
        <v>30194</v>
      </c>
      <c r="D4">
        <v>32467</v>
      </c>
      <c r="E4" t="s">
        <v>21</v>
      </c>
      <c r="F4" t="s">
        <v>22</v>
      </c>
      <c r="G4">
        <v>11298</v>
      </c>
      <c r="H4">
        <v>11697</v>
      </c>
      <c r="I4" t="s">
        <v>27</v>
      </c>
      <c r="J4" t="s">
        <v>24</v>
      </c>
      <c r="K4">
        <v>1121</v>
      </c>
      <c r="L4">
        <v>918</v>
      </c>
      <c r="M4">
        <v>144.58000000000001</v>
      </c>
      <c r="N4" t="s">
        <v>28</v>
      </c>
      <c r="O4">
        <v>0.71030000000000004</v>
      </c>
      <c r="P4">
        <v>159.6</v>
      </c>
      <c r="Q4" t="s">
        <v>29</v>
      </c>
      <c r="R4">
        <v>0.26869999999999999</v>
      </c>
      <c r="S4">
        <v>97.32</v>
      </c>
    </row>
    <row r="5" spans="1:21" x14ac:dyDescent="0.3">
      <c r="A5">
        <v>2021</v>
      </c>
      <c r="B5">
        <v>3</v>
      </c>
      <c r="C5">
        <v>30194</v>
      </c>
      <c r="D5">
        <v>32467</v>
      </c>
      <c r="E5" t="s">
        <v>21</v>
      </c>
      <c r="F5" t="s">
        <v>22</v>
      </c>
      <c r="G5">
        <v>11298</v>
      </c>
      <c r="H5">
        <v>13303</v>
      </c>
      <c r="I5" t="s">
        <v>27</v>
      </c>
      <c r="J5" t="s">
        <v>26</v>
      </c>
      <c r="K5">
        <v>1121</v>
      </c>
      <c r="L5">
        <v>1038</v>
      </c>
      <c r="M5">
        <v>189.37</v>
      </c>
      <c r="N5" t="s">
        <v>28</v>
      </c>
      <c r="O5">
        <v>0.9335</v>
      </c>
      <c r="P5">
        <v>193.03</v>
      </c>
      <c r="Q5" t="s">
        <v>30</v>
      </c>
      <c r="R5">
        <v>3.95E-2</v>
      </c>
      <c r="S5">
        <v>86.66</v>
      </c>
    </row>
    <row r="6" spans="1:21" x14ac:dyDescent="0.3">
      <c r="A6">
        <v>2021</v>
      </c>
      <c r="B6">
        <v>4</v>
      </c>
      <c r="C6">
        <v>30194</v>
      </c>
      <c r="D6">
        <v>32467</v>
      </c>
      <c r="E6" t="s">
        <v>21</v>
      </c>
      <c r="F6" t="s">
        <v>22</v>
      </c>
      <c r="G6">
        <v>11259</v>
      </c>
      <c r="H6">
        <v>11697</v>
      </c>
      <c r="I6" t="s">
        <v>23</v>
      </c>
      <c r="J6" t="s">
        <v>24</v>
      </c>
      <c r="K6">
        <v>1121</v>
      </c>
      <c r="L6">
        <v>307</v>
      </c>
      <c r="M6">
        <v>157.93</v>
      </c>
      <c r="N6" t="s">
        <v>25</v>
      </c>
      <c r="O6">
        <v>0.99080000000000001</v>
      </c>
      <c r="P6">
        <v>156.71</v>
      </c>
      <c r="Q6" t="s">
        <v>25</v>
      </c>
      <c r="R6">
        <v>0.99080000000000001</v>
      </c>
      <c r="S6">
        <v>156.71</v>
      </c>
    </row>
    <row r="7" spans="1:21" x14ac:dyDescent="0.3">
      <c r="A7">
        <v>2021</v>
      </c>
      <c r="B7">
        <v>4</v>
      </c>
      <c r="C7">
        <v>30194</v>
      </c>
      <c r="D7">
        <v>32467</v>
      </c>
      <c r="E7" t="s">
        <v>21</v>
      </c>
      <c r="F7" t="s">
        <v>22</v>
      </c>
      <c r="G7">
        <v>11259</v>
      </c>
      <c r="H7">
        <v>13303</v>
      </c>
      <c r="I7" t="s">
        <v>23</v>
      </c>
      <c r="J7" t="s">
        <v>26</v>
      </c>
      <c r="K7">
        <v>1121</v>
      </c>
      <c r="L7">
        <v>202</v>
      </c>
      <c r="M7">
        <v>155.57</v>
      </c>
      <c r="N7" t="s">
        <v>25</v>
      </c>
      <c r="O7">
        <v>0.97689999999999999</v>
      </c>
      <c r="P7">
        <v>153.93</v>
      </c>
      <c r="Q7" t="s">
        <v>25</v>
      </c>
      <c r="R7">
        <v>0.97689999999999999</v>
      </c>
      <c r="S7">
        <v>153.93</v>
      </c>
    </row>
    <row r="8" spans="1:21" x14ac:dyDescent="0.3">
      <c r="A8">
        <v>2021</v>
      </c>
      <c r="B8">
        <v>4</v>
      </c>
      <c r="C8">
        <v>30194</v>
      </c>
      <c r="D8">
        <v>32467</v>
      </c>
      <c r="E8" t="s">
        <v>21</v>
      </c>
      <c r="F8" t="s">
        <v>22</v>
      </c>
      <c r="G8">
        <v>11298</v>
      </c>
      <c r="H8">
        <v>11697</v>
      </c>
      <c r="I8" t="s">
        <v>27</v>
      </c>
      <c r="J8" t="s">
        <v>24</v>
      </c>
      <c r="K8">
        <v>1121</v>
      </c>
      <c r="L8">
        <v>742</v>
      </c>
      <c r="M8">
        <v>174.21</v>
      </c>
      <c r="N8" t="s">
        <v>28</v>
      </c>
      <c r="O8">
        <v>0.76890000000000003</v>
      </c>
      <c r="P8">
        <v>186.88</v>
      </c>
      <c r="Q8" t="s">
        <v>29</v>
      </c>
      <c r="R8">
        <v>0.19739999999999999</v>
      </c>
      <c r="S8">
        <v>110.09</v>
      </c>
    </row>
    <row r="9" spans="1:21" x14ac:dyDescent="0.3">
      <c r="A9">
        <v>2021</v>
      </c>
      <c r="B9">
        <v>4</v>
      </c>
      <c r="C9">
        <v>30194</v>
      </c>
      <c r="D9">
        <v>32467</v>
      </c>
      <c r="E9" t="s">
        <v>21</v>
      </c>
      <c r="F9" t="s">
        <v>22</v>
      </c>
      <c r="G9">
        <v>11298</v>
      </c>
      <c r="H9">
        <v>13303</v>
      </c>
      <c r="I9" t="s">
        <v>27</v>
      </c>
      <c r="J9" t="s">
        <v>26</v>
      </c>
      <c r="K9">
        <v>1121</v>
      </c>
      <c r="L9">
        <v>1124</v>
      </c>
      <c r="M9">
        <v>192.39</v>
      </c>
      <c r="N9" t="s">
        <v>28</v>
      </c>
      <c r="O9">
        <v>0.90469999999999995</v>
      </c>
      <c r="P9">
        <v>196.68</v>
      </c>
      <c r="Q9" t="s">
        <v>30</v>
      </c>
      <c r="R9">
        <v>1.5299999999999999E-2</v>
      </c>
      <c r="S9">
        <v>103.17</v>
      </c>
    </row>
    <row r="10" spans="1:21" x14ac:dyDescent="0.3">
      <c r="A10">
        <v>2021</v>
      </c>
      <c r="B10">
        <v>1</v>
      </c>
      <c r="C10">
        <v>30194</v>
      </c>
      <c r="D10">
        <v>32467</v>
      </c>
      <c r="E10" t="s">
        <v>21</v>
      </c>
      <c r="F10" t="s">
        <v>22</v>
      </c>
      <c r="G10">
        <v>11259</v>
      </c>
      <c r="H10">
        <v>11697</v>
      </c>
      <c r="I10" t="s">
        <v>23</v>
      </c>
      <c r="J10" t="s">
        <v>24</v>
      </c>
      <c r="K10">
        <v>1121</v>
      </c>
      <c r="L10">
        <v>237</v>
      </c>
      <c r="M10">
        <v>196.67</v>
      </c>
      <c r="N10" t="s">
        <v>25</v>
      </c>
      <c r="O10">
        <v>0.97560000000000002</v>
      </c>
      <c r="P10">
        <v>194.33</v>
      </c>
      <c r="Q10" t="s">
        <v>25</v>
      </c>
      <c r="R10">
        <v>0.97560000000000002</v>
      </c>
      <c r="S10">
        <v>194.33</v>
      </c>
    </row>
    <row r="11" spans="1:21" x14ac:dyDescent="0.3">
      <c r="A11">
        <v>2021</v>
      </c>
      <c r="B11">
        <v>1</v>
      </c>
      <c r="C11">
        <v>30194</v>
      </c>
      <c r="D11">
        <v>32467</v>
      </c>
      <c r="E11" t="s">
        <v>21</v>
      </c>
      <c r="F11" t="s">
        <v>22</v>
      </c>
      <c r="G11">
        <v>11259</v>
      </c>
      <c r="H11">
        <v>13303</v>
      </c>
      <c r="I11" t="s">
        <v>23</v>
      </c>
      <c r="J11" t="s">
        <v>26</v>
      </c>
      <c r="K11">
        <v>1121</v>
      </c>
      <c r="L11">
        <v>248</v>
      </c>
      <c r="M11">
        <v>159.52000000000001</v>
      </c>
      <c r="N11" t="s">
        <v>25</v>
      </c>
      <c r="O11">
        <v>0.98160000000000003</v>
      </c>
      <c r="P11">
        <v>157.74</v>
      </c>
      <c r="Q11" t="s">
        <v>25</v>
      </c>
      <c r="R11">
        <v>0.98160000000000003</v>
      </c>
      <c r="S11">
        <v>157.74</v>
      </c>
    </row>
    <row r="12" spans="1:21" x14ac:dyDescent="0.3">
      <c r="A12">
        <v>2021</v>
      </c>
      <c r="B12">
        <v>1</v>
      </c>
      <c r="C12">
        <v>30194</v>
      </c>
      <c r="D12">
        <v>32467</v>
      </c>
      <c r="E12" t="s">
        <v>21</v>
      </c>
      <c r="F12" t="s">
        <v>22</v>
      </c>
      <c r="G12">
        <v>11298</v>
      </c>
      <c r="H12">
        <v>11697</v>
      </c>
      <c r="I12" t="s">
        <v>27</v>
      </c>
      <c r="J12" t="s">
        <v>24</v>
      </c>
      <c r="K12">
        <v>1121</v>
      </c>
      <c r="L12">
        <v>774</v>
      </c>
      <c r="M12">
        <v>207.12</v>
      </c>
      <c r="N12" t="s">
        <v>28</v>
      </c>
      <c r="O12">
        <v>0.60489999999999999</v>
      </c>
      <c r="P12">
        <v>253.24</v>
      </c>
      <c r="Q12" t="s">
        <v>29</v>
      </c>
      <c r="R12">
        <v>0.3589</v>
      </c>
      <c r="S12">
        <v>119.56</v>
      </c>
    </row>
    <row r="13" spans="1:21" x14ac:dyDescent="0.3">
      <c r="A13">
        <v>2021</v>
      </c>
      <c r="B13">
        <v>1</v>
      </c>
      <c r="C13">
        <v>30194</v>
      </c>
      <c r="D13">
        <v>32467</v>
      </c>
      <c r="E13" t="s">
        <v>21</v>
      </c>
      <c r="F13" t="s">
        <v>22</v>
      </c>
      <c r="G13">
        <v>11298</v>
      </c>
      <c r="H13">
        <v>13303</v>
      </c>
      <c r="I13" t="s">
        <v>27</v>
      </c>
      <c r="J13" t="s">
        <v>26</v>
      </c>
      <c r="K13">
        <v>1121</v>
      </c>
      <c r="L13">
        <v>1083</v>
      </c>
      <c r="M13">
        <v>231.99</v>
      </c>
      <c r="N13" t="s">
        <v>28</v>
      </c>
      <c r="O13">
        <v>0.80059999999999998</v>
      </c>
      <c r="P13">
        <v>255.27</v>
      </c>
      <c r="Q13" t="s">
        <v>29</v>
      </c>
      <c r="R13">
        <v>0.128</v>
      </c>
      <c r="S13">
        <v>119.65</v>
      </c>
    </row>
    <row r="14" spans="1:21" ht="12" customHeight="1" x14ac:dyDescent="0.3">
      <c r="A14">
        <v>2021</v>
      </c>
      <c r="B14">
        <v>4</v>
      </c>
      <c r="C14">
        <v>30194</v>
      </c>
      <c r="D14">
        <v>32467</v>
      </c>
      <c r="E14" t="s">
        <v>21</v>
      </c>
      <c r="F14" t="s">
        <v>22</v>
      </c>
      <c r="G14">
        <v>11259</v>
      </c>
      <c r="H14">
        <v>13303</v>
      </c>
      <c r="I14" t="s">
        <v>23</v>
      </c>
      <c r="J14" t="s">
        <v>26</v>
      </c>
      <c r="K14">
        <v>1121</v>
      </c>
      <c r="L14">
        <v>1</v>
      </c>
      <c r="M14">
        <v>243.31</v>
      </c>
      <c r="N14" t="s">
        <v>31</v>
      </c>
      <c r="O14">
        <v>0.33</v>
      </c>
      <c r="P14">
        <v>202.52</v>
      </c>
      <c r="Q14" t="s">
        <v>32</v>
      </c>
      <c r="R14">
        <v>0.25</v>
      </c>
      <c r="S14">
        <v>126.33</v>
      </c>
      <c r="T14" s="1" t="s">
        <v>33</v>
      </c>
      <c r="U14" s="1" t="s">
        <v>34</v>
      </c>
    </row>
    <row r="15" spans="1:21" ht="12" customHeight="1" x14ac:dyDescent="0.3">
      <c r="A15">
        <v>2021</v>
      </c>
      <c r="B15">
        <v>2</v>
      </c>
      <c r="C15">
        <v>30194</v>
      </c>
      <c r="D15">
        <v>32467</v>
      </c>
      <c r="E15" t="s">
        <v>21</v>
      </c>
      <c r="F15" t="s">
        <v>22</v>
      </c>
      <c r="G15">
        <v>11298</v>
      </c>
      <c r="H15">
        <v>11697</v>
      </c>
      <c r="I15" t="s">
        <v>27</v>
      </c>
      <c r="J15" t="s">
        <v>24</v>
      </c>
      <c r="K15">
        <v>1121</v>
      </c>
      <c r="L15">
        <v>780</v>
      </c>
      <c r="M15">
        <v>181.11</v>
      </c>
      <c r="N15" t="s">
        <v>28</v>
      </c>
      <c r="O15">
        <v>0.86</v>
      </c>
      <c r="P15">
        <v>178.71</v>
      </c>
      <c r="Q15" t="s">
        <v>35</v>
      </c>
      <c r="R15">
        <v>0.04</v>
      </c>
      <c r="S15">
        <v>162.12</v>
      </c>
      <c r="T15" s="1" t="s">
        <v>33</v>
      </c>
      <c r="U15" s="1" t="s">
        <v>34</v>
      </c>
    </row>
    <row r="16" spans="1:21" ht="12" customHeight="1" x14ac:dyDescent="0.3">
      <c r="A16">
        <v>2021</v>
      </c>
      <c r="B16">
        <v>4</v>
      </c>
      <c r="C16">
        <v>30194</v>
      </c>
      <c r="D16">
        <v>32467</v>
      </c>
      <c r="E16" t="s">
        <v>21</v>
      </c>
      <c r="F16" t="s">
        <v>22</v>
      </c>
      <c r="G16">
        <v>11259</v>
      </c>
      <c r="H16">
        <v>11697</v>
      </c>
      <c r="I16" t="s">
        <v>23</v>
      </c>
      <c r="J16" t="s">
        <v>24</v>
      </c>
      <c r="K16">
        <v>1121</v>
      </c>
      <c r="L16">
        <v>6</v>
      </c>
      <c r="M16">
        <v>210.51</v>
      </c>
      <c r="N16" t="s">
        <v>25</v>
      </c>
      <c r="O16">
        <v>0.51</v>
      </c>
      <c r="P16">
        <v>258.42</v>
      </c>
      <c r="Q16" t="s">
        <v>32</v>
      </c>
      <c r="R16">
        <v>0.34</v>
      </c>
      <c r="S16">
        <v>147.31</v>
      </c>
      <c r="T16" s="1" t="s">
        <v>33</v>
      </c>
      <c r="U16" s="1" t="s">
        <v>34</v>
      </c>
    </row>
    <row r="17" spans="1:21" ht="12" customHeight="1" x14ac:dyDescent="0.3">
      <c r="A17">
        <v>2021</v>
      </c>
      <c r="B17">
        <v>2</v>
      </c>
      <c r="C17">
        <v>30194</v>
      </c>
      <c r="D17">
        <v>32467</v>
      </c>
      <c r="E17" t="s">
        <v>21</v>
      </c>
      <c r="F17" t="s">
        <v>22</v>
      </c>
      <c r="G17">
        <v>11298</v>
      </c>
      <c r="H17">
        <v>11697</v>
      </c>
      <c r="I17" t="s">
        <v>27</v>
      </c>
      <c r="J17" t="s">
        <v>24</v>
      </c>
      <c r="K17">
        <v>1121</v>
      </c>
      <c r="L17">
        <v>565</v>
      </c>
      <c r="M17">
        <v>199.58</v>
      </c>
      <c r="N17" t="s">
        <v>28</v>
      </c>
      <c r="O17">
        <v>0.52</v>
      </c>
      <c r="P17">
        <v>210.06</v>
      </c>
      <c r="Q17" t="s">
        <v>31</v>
      </c>
      <c r="R17">
        <v>0.34</v>
      </c>
      <c r="S17">
        <v>195.16</v>
      </c>
      <c r="T17" s="1" t="s">
        <v>33</v>
      </c>
      <c r="U17" s="1" t="s">
        <v>34</v>
      </c>
    </row>
    <row r="18" spans="1:21" ht="12" customHeight="1" x14ac:dyDescent="0.3">
      <c r="A18">
        <v>2021</v>
      </c>
      <c r="B18">
        <v>4</v>
      </c>
      <c r="C18">
        <v>30194</v>
      </c>
      <c r="D18">
        <v>32467</v>
      </c>
      <c r="E18" t="s">
        <v>21</v>
      </c>
      <c r="F18" t="s">
        <v>22</v>
      </c>
      <c r="G18">
        <v>11298</v>
      </c>
      <c r="H18">
        <v>11697</v>
      </c>
      <c r="I18" t="s">
        <v>27</v>
      </c>
      <c r="J18" t="s">
        <v>24</v>
      </c>
      <c r="K18">
        <v>1121</v>
      </c>
      <c r="L18">
        <v>686</v>
      </c>
      <c r="M18">
        <v>187.05</v>
      </c>
      <c r="N18" t="s">
        <v>28</v>
      </c>
      <c r="O18">
        <v>0.86</v>
      </c>
      <c r="P18">
        <v>186.14</v>
      </c>
      <c r="Q18" t="s">
        <v>35</v>
      </c>
      <c r="R18">
        <v>0.03</v>
      </c>
      <c r="S18">
        <v>161.82</v>
      </c>
      <c r="T18" s="1" t="s">
        <v>33</v>
      </c>
      <c r="U18" s="1" t="s">
        <v>34</v>
      </c>
    </row>
    <row r="19" spans="1:21" ht="12" customHeight="1" x14ac:dyDescent="0.3">
      <c r="A19">
        <v>2021</v>
      </c>
      <c r="B19">
        <v>3</v>
      </c>
      <c r="C19">
        <v>30194</v>
      </c>
      <c r="D19">
        <v>32467</v>
      </c>
      <c r="E19" t="s">
        <v>21</v>
      </c>
      <c r="F19" t="s">
        <v>22</v>
      </c>
      <c r="G19">
        <v>11259</v>
      </c>
      <c r="H19">
        <v>11697</v>
      </c>
      <c r="I19" t="s">
        <v>23</v>
      </c>
      <c r="J19" t="s">
        <v>24</v>
      </c>
      <c r="K19">
        <v>1121</v>
      </c>
      <c r="L19">
        <v>7</v>
      </c>
      <c r="M19">
        <v>193.38</v>
      </c>
      <c r="N19" t="s">
        <v>32</v>
      </c>
      <c r="O19">
        <v>0.5</v>
      </c>
      <c r="P19">
        <v>142.97999999999999</v>
      </c>
      <c r="Q19" t="s">
        <v>32</v>
      </c>
      <c r="R19">
        <v>0.5</v>
      </c>
      <c r="S19">
        <v>142.97999999999999</v>
      </c>
      <c r="T19" s="1" t="s">
        <v>33</v>
      </c>
      <c r="U19" s="1" t="s">
        <v>34</v>
      </c>
    </row>
    <row r="20" spans="1:21" ht="12" customHeight="1" x14ac:dyDescent="0.3">
      <c r="A20">
        <v>2021</v>
      </c>
      <c r="B20">
        <v>2</v>
      </c>
      <c r="C20">
        <v>30194</v>
      </c>
      <c r="D20">
        <v>32467</v>
      </c>
      <c r="E20" t="s">
        <v>21</v>
      </c>
      <c r="F20" t="s">
        <v>22</v>
      </c>
      <c r="G20">
        <v>11259</v>
      </c>
      <c r="H20">
        <v>13303</v>
      </c>
      <c r="I20" t="s">
        <v>23</v>
      </c>
      <c r="J20" t="s">
        <v>26</v>
      </c>
      <c r="K20">
        <v>1121</v>
      </c>
      <c r="L20">
        <v>8</v>
      </c>
      <c r="M20">
        <v>163.19</v>
      </c>
      <c r="N20" t="s">
        <v>32</v>
      </c>
      <c r="O20">
        <v>0.9</v>
      </c>
      <c r="P20">
        <v>156.58000000000001</v>
      </c>
      <c r="Q20" t="s">
        <v>32</v>
      </c>
      <c r="R20">
        <v>0.9</v>
      </c>
      <c r="S20">
        <v>156.58000000000001</v>
      </c>
      <c r="T20" s="1" t="s">
        <v>33</v>
      </c>
      <c r="U20" s="1" t="s">
        <v>34</v>
      </c>
    </row>
    <row r="21" spans="1:21" ht="12" customHeight="1" x14ac:dyDescent="0.3">
      <c r="A21">
        <v>2021</v>
      </c>
      <c r="B21">
        <v>1</v>
      </c>
      <c r="C21">
        <v>30194</v>
      </c>
      <c r="D21">
        <v>32467</v>
      </c>
      <c r="E21" t="s">
        <v>21</v>
      </c>
      <c r="F21" t="s">
        <v>22</v>
      </c>
      <c r="G21">
        <v>11298</v>
      </c>
      <c r="H21">
        <v>11697</v>
      </c>
      <c r="I21" t="s">
        <v>27</v>
      </c>
      <c r="J21" t="s">
        <v>24</v>
      </c>
      <c r="K21">
        <v>1121</v>
      </c>
      <c r="L21">
        <v>482</v>
      </c>
      <c r="M21">
        <v>217.52</v>
      </c>
      <c r="N21" t="s">
        <v>28</v>
      </c>
      <c r="O21">
        <v>0.56999999999999995</v>
      </c>
      <c r="P21">
        <v>223.38</v>
      </c>
      <c r="Q21" t="s">
        <v>31</v>
      </c>
      <c r="R21">
        <v>0.32</v>
      </c>
      <c r="S21">
        <v>214.44</v>
      </c>
      <c r="T21" s="1" t="s">
        <v>33</v>
      </c>
      <c r="U21" s="1" t="s">
        <v>34</v>
      </c>
    </row>
    <row r="22" spans="1:21" ht="12" customHeight="1" x14ac:dyDescent="0.3">
      <c r="A22">
        <v>2021</v>
      </c>
      <c r="B22">
        <v>2</v>
      </c>
      <c r="C22">
        <v>30194</v>
      </c>
      <c r="D22">
        <v>32467</v>
      </c>
      <c r="E22" t="s">
        <v>21</v>
      </c>
      <c r="F22" t="s">
        <v>22</v>
      </c>
      <c r="G22">
        <v>11298</v>
      </c>
      <c r="H22">
        <v>13303</v>
      </c>
      <c r="I22" t="s">
        <v>27</v>
      </c>
      <c r="J22" t="s">
        <v>26</v>
      </c>
      <c r="K22">
        <v>1121</v>
      </c>
      <c r="L22">
        <v>631</v>
      </c>
      <c r="M22">
        <v>245.31</v>
      </c>
      <c r="N22" t="s">
        <v>28</v>
      </c>
      <c r="O22">
        <v>0.86</v>
      </c>
      <c r="P22">
        <v>249.57</v>
      </c>
      <c r="Q22" t="s">
        <v>31</v>
      </c>
      <c r="R22">
        <v>0.05</v>
      </c>
      <c r="S22">
        <v>163.9</v>
      </c>
      <c r="T22" s="1" t="s">
        <v>33</v>
      </c>
      <c r="U22" s="1" t="s">
        <v>34</v>
      </c>
    </row>
    <row r="23" spans="1:21" ht="12" customHeight="1" x14ac:dyDescent="0.3">
      <c r="A23">
        <v>2021</v>
      </c>
      <c r="B23">
        <v>3</v>
      </c>
      <c r="C23">
        <v>30194</v>
      </c>
      <c r="D23">
        <v>32467</v>
      </c>
      <c r="E23" t="s">
        <v>21</v>
      </c>
      <c r="F23" t="s">
        <v>22</v>
      </c>
      <c r="G23">
        <v>11259</v>
      </c>
      <c r="H23">
        <v>11697</v>
      </c>
      <c r="I23" t="s">
        <v>23</v>
      </c>
      <c r="J23" t="s">
        <v>24</v>
      </c>
      <c r="K23">
        <v>1121</v>
      </c>
      <c r="L23">
        <v>5</v>
      </c>
      <c r="M23">
        <v>241.82</v>
      </c>
      <c r="N23" t="s">
        <v>25</v>
      </c>
      <c r="O23">
        <v>0.7</v>
      </c>
      <c r="P23">
        <v>246.23</v>
      </c>
      <c r="Q23" t="s">
        <v>32</v>
      </c>
      <c r="R23">
        <v>0.27</v>
      </c>
      <c r="S23">
        <v>230.92</v>
      </c>
      <c r="T23" s="1" t="s">
        <v>33</v>
      </c>
      <c r="U23" s="1" t="s">
        <v>34</v>
      </c>
    </row>
    <row r="24" spans="1:21" ht="12" customHeight="1" x14ac:dyDescent="0.3">
      <c r="A24">
        <v>2021</v>
      </c>
      <c r="B24">
        <v>1</v>
      </c>
      <c r="C24">
        <v>30194</v>
      </c>
      <c r="D24">
        <v>32467</v>
      </c>
      <c r="E24" t="s">
        <v>21</v>
      </c>
      <c r="F24" t="s">
        <v>22</v>
      </c>
      <c r="G24">
        <v>11298</v>
      </c>
      <c r="H24">
        <v>11697</v>
      </c>
      <c r="I24" t="s">
        <v>27</v>
      </c>
      <c r="J24" t="s">
        <v>24</v>
      </c>
      <c r="K24">
        <v>1121</v>
      </c>
      <c r="L24">
        <v>869</v>
      </c>
      <c r="M24">
        <v>183.47</v>
      </c>
      <c r="N24" t="s">
        <v>28</v>
      </c>
      <c r="O24">
        <v>0.62</v>
      </c>
      <c r="P24">
        <v>211.45</v>
      </c>
      <c r="Q24" t="s">
        <v>29</v>
      </c>
      <c r="R24">
        <v>0.3</v>
      </c>
      <c r="S24">
        <v>109.07</v>
      </c>
      <c r="T24" s="1" t="s">
        <v>33</v>
      </c>
      <c r="U24" s="1" t="s">
        <v>34</v>
      </c>
    </row>
    <row r="25" spans="1:21" ht="12" customHeight="1" x14ac:dyDescent="0.3">
      <c r="A25">
        <v>2021</v>
      </c>
      <c r="B25">
        <v>3</v>
      </c>
      <c r="C25">
        <v>30194</v>
      </c>
      <c r="D25">
        <v>32467</v>
      </c>
      <c r="E25" t="s">
        <v>21</v>
      </c>
      <c r="F25" t="s">
        <v>22</v>
      </c>
      <c r="G25">
        <v>11259</v>
      </c>
      <c r="H25">
        <v>11697</v>
      </c>
      <c r="I25" t="s">
        <v>23</v>
      </c>
      <c r="J25" t="s">
        <v>24</v>
      </c>
      <c r="K25">
        <v>1121</v>
      </c>
      <c r="L25">
        <v>7</v>
      </c>
      <c r="M25">
        <v>164.59</v>
      </c>
      <c r="N25" t="s">
        <v>32</v>
      </c>
      <c r="O25">
        <v>0.69</v>
      </c>
      <c r="P25">
        <v>132.87</v>
      </c>
      <c r="Q25" t="s">
        <v>32</v>
      </c>
      <c r="R25">
        <v>0.69</v>
      </c>
      <c r="S25">
        <v>132.87</v>
      </c>
      <c r="T25" s="1" t="s">
        <v>33</v>
      </c>
      <c r="U25" s="1" t="s">
        <v>34</v>
      </c>
    </row>
    <row r="26" spans="1:21" ht="12" customHeight="1" x14ac:dyDescent="0.3">
      <c r="A26">
        <v>2021</v>
      </c>
      <c r="B26">
        <v>1</v>
      </c>
      <c r="C26">
        <v>30194</v>
      </c>
      <c r="D26">
        <v>32467</v>
      </c>
      <c r="E26" t="s">
        <v>21</v>
      </c>
      <c r="F26" t="s">
        <v>22</v>
      </c>
      <c r="G26">
        <v>11259</v>
      </c>
      <c r="H26">
        <v>13303</v>
      </c>
      <c r="I26" t="s">
        <v>23</v>
      </c>
      <c r="J26" t="s">
        <v>26</v>
      </c>
      <c r="K26">
        <v>1121</v>
      </c>
      <c r="L26">
        <v>20</v>
      </c>
      <c r="M26">
        <v>123.47</v>
      </c>
      <c r="N26" t="s">
        <v>32</v>
      </c>
      <c r="O26">
        <v>0.83</v>
      </c>
      <c r="P26">
        <v>113.9</v>
      </c>
      <c r="Q26" t="s">
        <v>32</v>
      </c>
      <c r="R26">
        <v>0.83</v>
      </c>
      <c r="S26">
        <v>113.9</v>
      </c>
      <c r="T26" s="1" t="s">
        <v>33</v>
      </c>
      <c r="U26" s="1" t="s">
        <v>34</v>
      </c>
    </row>
    <row r="27" spans="1:21" ht="12" customHeight="1" x14ac:dyDescent="0.3">
      <c r="A27">
        <v>2021</v>
      </c>
      <c r="B27">
        <v>1</v>
      </c>
      <c r="C27">
        <v>30194</v>
      </c>
      <c r="D27">
        <v>32467</v>
      </c>
      <c r="E27" t="s">
        <v>21</v>
      </c>
      <c r="F27" t="s">
        <v>22</v>
      </c>
      <c r="G27">
        <v>11298</v>
      </c>
      <c r="H27">
        <v>11697</v>
      </c>
      <c r="I27" t="s">
        <v>27</v>
      </c>
      <c r="J27" t="s">
        <v>24</v>
      </c>
      <c r="K27">
        <v>1121</v>
      </c>
      <c r="L27">
        <v>851</v>
      </c>
      <c r="M27">
        <v>195.06</v>
      </c>
      <c r="N27" t="s">
        <v>28</v>
      </c>
      <c r="O27">
        <v>0.57999999999999996</v>
      </c>
      <c r="P27">
        <v>230.87</v>
      </c>
      <c r="Q27" t="s">
        <v>29</v>
      </c>
      <c r="R27">
        <v>0.33</v>
      </c>
      <c r="S27">
        <v>113.43</v>
      </c>
      <c r="T27" s="1" t="s">
        <v>33</v>
      </c>
      <c r="U27" s="1" t="s">
        <v>34</v>
      </c>
    </row>
    <row r="28" spans="1:21" ht="12" customHeight="1" x14ac:dyDescent="0.3">
      <c r="A28">
        <v>2021</v>
      </c>
      <c r="B28">
        <v>3</v>
      </c>
      <c r="C28">
        <v>30194</v>
      </c>
      <c r="D28">
        <v>32467</v>
      </c>
      <c r="E28" t="s">
        <v>21</v>
      </c>
      <c r="F28" t="s">
        <v>22</v>
      </c>
      <c r="G28">
        <v>11259</v>
      </c>
      <c r="H28">
        <v>11697</v>
      </c>
      <c r="I28" t="s">
        <v>23</v>
      </c>
      <c r="J28" t="s">
        <v>24</v>
      </c>
      <c r="K28">
        <v>1121</v>
      </c>
      <c r="L28">
        <v>58</v>
      </c>
      <c r="M28">
        <v>173.16</v>
      </c>
      <c r="N28" t="s">
        <v>25</v>
      </c>
      <c r="O28">
        <v>0.91</v>
      </c>
      <c r="P28">
        <v>172.24</v>
      </c>
      <c r="Q28" t="s">
        <v>25</v>
      </c>
      <c r="R28">
        <v>0.91</v>
      </c>
      <c r="S28">
        <v>172.24</v>
      </c>
      <c r="T28" s="1" t="s">
        <v>33</v>
      </c>
      <c r="U28" s="1" t="s">
        <v>34</v>
      </c>
    </row>
    <row r="29" spans="1:21" ht="12" customHeight="1" x14ac:dyDescent="0.3">
      <c r="A29">
        <v>2021</v>
      </c>
      <c r="B29">
        <v>1</v>
      </c>
      <c r="C29">
        <v>30194</v>
      </c>
      <c r="D29">
        <v>32467</v>
      </c>
      <c r="E29" t="s">
        <v>21</v>
      </c>
      <c r="F29" t="s">
        <v>22</v>
      </c>
      <c r="G29">
        <v>11298</v>
      </c>
      <c r="H29">
        <v>11697</v>
      </c>
      <c r="I29" t="s">
        <v>27</v>
      </c>
      <c r="J29" t="s">
        <v>24</v>
      </c>
      <c r="K29">
        <v>1121</v>
      </c>
      <c r="L29">
        <v>693</v>
      </c>
      <c r="M29">
        <v>185.62</v>
      </c>
      <c r="N29" t="s">
        <v>28</v>
      </c>
      <c r="O29">
        <v>0.84</v>
      </c>
      <c r="P29">
        <v>184.61</v>
      </c>
      <c r="Q29" t="s">
        <v>35</v>
      </c>
      <c r="R29">
        <v>0.04</v>
      </c>
      <c r="S29">
        <v>165.76</v>
      </c>
      <c r="T29" s="1" t="s">
        <v>33</v>
      </c>
      <c r="U29" s="1" t="s">
        <v>34</v>
      </c>
    </row>
    <row r="30" spans="1:21" ht="12" customHeight="1" x14ac:dyDescent="0.3">
      <c r="A30">
        <v>2021</v>
      </c>
      <c r="B30">
        <v>4</v>
      </c>
      <c r="C30">
        <v>30194</v>
      </c>
      <c r="D30">
        <v>32467</v>
      </c>
      <c r="E30" t="s">
        <v>21</v>
      </c>
      <c r="F30" t="s">
        <v>22</v>
      </c>
      <c r="G30">
        <v>11259</v>
      </c>
      <c r="H30">
        <v>11697</v>
      </c>
      <c r="I30" t="s">
        <v>23</v>
      </c>
      <c r="J30" t="s">
        <v>24</v>
      </c>
      <c r="K30">
        <v>1121</v>
      </c>
      <c r="L30">
        <v>51</v>
      </c>
      <c r="M30">
        <v>197.3</v>
      </c>
      <c r="N30" t="s">
        <v>25</v>
      </c>
      <c r="O30">
        <v>0.92</v>
      </c>
      <c r="P30">
        <v>193.88</v>
      </c>
      <c r="Q30" t="s">
        <v>25</v>
      </c>
      <c r="R30">
        <v>0.92</v>
      </c>
      <c r="S30">
        <v>193.88</v>
      </c>
      <c r="T30" s="1" t="s">
        <v>33</v>
      </c>
      <c r="U30" s="1" t="s">
        <v>34</v>
      </c>
    </row>
    <row r="31" spans="1:21" ht="12" customHeight="1" x14ac:dyDescent="0.3">
      <c r="A31">
        <v>2021</v>
      </c>
      <c r="B31">
        <v>4</v>
      </c>
      <c r="C31">
        <v>30194</v>
      </c>
      <c r="D31">
        <v>32467</v>
      </c>
      <c r="E31" t="s">
        <v>21</v>
      </c>
      <c r="F31" t="s">
        <v>22</v>
      </c>
      <c r="G31">
        <v>11259</v>
      </c>
      <c r="H31">
        <v>13303</v>
      </c>
      <c r="I31" t="s">
        <v>23</v>
      </c>
      <c r="J31" t="s">
        <v>26</v>
      </c>
      <c r="K31">
        <v>1121</v>
      </c>
      <c r="L31">
        <v>6</v>
      </c>
      <c r="M31">
        <v>165.72</v>
      </c>
      <c r="N31" t="s">
        <v>32</v>
      </c>
      <c r="O31">
        <v>0.69</v>
      </c>
      <c r="P31">
        <v>178.7</v>
      </c>
      <c r="Q31" t="s">
        <v>31</v>
      </c>
      <c r="R31">
        <v>0.25</v>
      </c>
      <c r="S31">
        <v>134.32</v>
      </c>
      <c r="T31" s="1" t="s">
        <v>33</v>
      </c>
      <c r="U31" s="1" t="s">
        <v>34</v>
      </c>
    </row>
    <row r="32" spans="1:21" ht="12" customHeight="1" x14ac:dyDescent="0.3">
      <c r="A32">
        <v>2021</v>
      </c>
      <c r="B32">
        <v>1</v>
      </c>
      <c r="C32">
        <v>30194</v>
      </c>
      <c r="D32">
        <v>32467</v>
      </c>
      <c r="E32" t="s">
        <v>21</v>
      </c>
      <c r="F32" t="s">
        <v>22</v>
      </c>
      <c r="G32">
        <v>11259</v>
      </c>
      <c r="H32">
        <v>11697</v>
      </c>
      <c r="I32" t="s">
        <v>23</v>
      </c>
      <c r="J32" t="s">
        <v>24</v>
      </c>
      <c r="K32">
        <v>1121</v>
      </c>
      <c r="L32">
        <v>14</v>
      </c>
      <c r="M32">
        <v>219.58</v>
      </c>
      <c r="N32" t="s">
        <v>32</v>
      </c>
      <c r="O32">
        <v>0.54</v>
      </c>
      <c r="P32">
        <v>183.7</v>
      </c>
      <c r="Q32" t="s">
        <v>31</v>
      </c>
      <c r="R32">
        <v>0.11</v>
      </c>
      <c r="S32">
        <v>144.13</v>
      </c>
      <c r="T32" s="1" t="s">
        <v>33</v>
      </c>
      <c r="U32" s="1" t="s">
        <v>34</v>
      </c>
    </row>
    <row r="33" spans="1:21" ht="12" customHeight="1" x14ac:dyDescent="0.3">
      <c r="A33">
        <v>2021</v>
      </c>
      <c r="B33">
        <v>2</v>
      </c>
      <c r="C33">
        <v>30194</v>
      </c>
      <c r="D33">
        <v>32467</v>
      </c>
      <c r="E33" t="s">
        <v>21</v>
      </c>
      <c r="F33" t="s">
        <v>22</v>
      </c>
      <c r="G33">
        <v>11259</v>
      </c>
      <c r="H33">
        <v>11697</v>
      </c>
      <c r="I33" t="s">
        <v>23</v>
      </c>
      <c r="J33" t="s">
        <v>24</v>
      </c>
      <c r="K33">
        <v>1121</v>
      </c>
      <c r="L33">
        <v>14</v>
      </c>
      <c r="M33">
        <v>260.33</v>
      </c>
      <c r="N33" t="s">
        <v>25</v>
      </c>
      <c r="O33">
        <v>0.5</v>
      </c>
      <c r="P33">
        <v>305.10000000000002</v>
      </c>
      <c r="Q33" t="s">
        <v>32</v>
      </c>
      <c r="R33">
        <v>0.42</v>
      </c>
      <c r="S33">
        <v>206.63</v>
      </c>
      <c r="T33" s="1" t="s">
        <v>33</v>
      </c>
      <c r="U33" s="1" t="s">
        <v>34</v>
      </c>
    </row>
    <row r="34" spans="1:21" ht="12" customHeight="1" x14ac:dyDescent="0.3">
      <c r="A34">
        <v>2021</v>
      </c>
      <c r="B34">
        <v>2</v>
      </c>
      <c r="C34">
        <v>30194</v>
      </c>
      <c r="D34">
        <v>32467</v>
      </c>
      <c r="E34" t="s">
        <v>21</v>
      </c>
      <c r="F34" t="s">
        <v>22</v>
      </c>
      <c r="G34">
        <v>11298</v>
      </c>
      <c r="H34">
        <v>11697</v>
      </c>
      <c r="I34" t="s">
        <v>27</v>
      </c>
      <c r="J34" t="s">
        <v>24</v>
      </c>
      <c r="K34">
        <v>1121</v>
      </c>
      <c r="L34">
        <v>663</v>
      </c>
      <c r="M34">
        <v>202.29</v>
      </c>
      <c r="N34" t="s">
        <v>28</v>
      </c>
      <c r="O34">
        <v>0.47</v>
      </c>
      <c r="P34">
        <v>215.26</v>
      </c>
      <c r="Q34" t="s">
        <v>31</v>
      </c>
      <c r="R34">
        <v>0.39</v>
      </c>
      <c r="S34">
        <v>189.85</v>
      </c>
      <c r="T34" s="1" t="s">
        <v>33</v>
      </c>
      <c r="U34" s="1" t="s">
        <v>34</v>
      </c>
    </row>
    <row r="35" spans="1:21" ht="12" customHeight="1" x14ac:dyDescent="0.3">
      <c r="A35">
        <v>2021</v>
      </c>
      <c r="B35">
        <v>4</v>
      </c>
      <c r="C35">
        <v>30194</v>
      </c>
      <c r="D35">
        <v>32467</v>
      </c>
      <c r="E35" t="s">
        <v>21</v>
      </c>
      <c r="F35" t="s">
        <v>22</v>
      </c>
      <c r="G35">
        <v>11298</v>
      </c>
      <c r="H35">
        <v>13303</v>
      </c>
      <c r="I35" t="s">
        <v>27</v>
      </c>
      <c r="J35" t="s">
        <v>26</v>
      </c>
      <c r="K35">
        <v>1121</v>
      </c>
      <c r="L35">
        <v>498</v>
      </c>
      <c r="M35">
        <v>237.27</v>
      </c>
      <c r="N35" t="s">
        <v>28</v>
      </c>
      <c r="O35">
        <v>0.83</v>
      </c>
      <c r="P35">
        <v>246.1</v>
      </c>
      <c r="Q35" t="s">
        <v>35</v>
      </c>
      <c r="R35">
        <v>0.02</v>
      </c>
      <c r="S35">
        <v>146.53</v>
      </c>
      <c r="T35" s="1" t="s">
        <v>33</v>
      </c>
      <c r="U35" s="1" t="s">
        <v>34</v>
      </c>
    </row>
    <row r="36" spans="1:21" ht="12" customHeight="1" x14ac:dyDescent="0.3">
      <c r="A36">
        <v>2021</v>
      </c>
      <c r="B36">
        <v>3</v>
      </c>
      <c r="C36">
        <v>30194</v>
      </c>
      <c r="D36">
        <v>32467</v>
      </c>
      <c r="E36" t="s">
        <v>21</v>
      </c>
      <c r="F36" t="s">
        <v>22</v>
      </c>
      <c r="G36">
        <v>11259</v>
      </c>
      <c r="H36">
        <v>13303</v>
      </c>
      <c r="I36" t="s">
        <v>23</v>
      </c>
      <c r="J36" t="s">
        <v>26</v>
      </c>
      <c r="K36">
        <v>1121</v>
      </c>
      <c r="L36">
        <v>12</v>
      </c>
      <c r="M36">
        <v>153.69</v>
      </c>
      <c r="N36" t="s">
        <v>31</v>
      </c>
      <c r="O36">
        <v>0.69</v>
      </c>
      <c r="P36">
        <v>151.66</v>
      </c>
      <c r="Q36" t="s">
        <v>31</v>
      </c>
      <c r="R36">
        <v>0.69</v>
      </c>
      <c r="S36">
        <v>151.66</v>
      </c>
      <c r="T36" s="1" t="s">
        <v>33</v>
      </c>
      <c r="U36" s="1" t="s">
        <v>34</v>
      </c>
    </row>
    <row r="37" spans="1:21" ht="12" customHeight="1" x14ac:dyDescent="0.3">
      <c r="A37">
        <v>2021</v>
      </c>
      <c r="B37">
        <v>4</v>
      </c>
      <c r="C37">
        <v>30194</v>
      </c>
      <c r="D37">
        <v>32467</v>
      </c>
      <c r="E37" t="s">
        <v>21</v>
      </c>
      <c r="F37" t="s">
        <v>22</v>
      </c>
      <c r="G37">
        <v>11298</v>
      </c>
      <c r="H37">
        <v>11697</v>
      </c>
      <c r="I37" t="s">
        <v>27</v>
      </c>
      <c r="J37" t="s">
        <v>24</v>
      </c>
      <c r="K37">
        <v>1121</v>
      </c>
      <c r="L37">
        <v>940</v>
      </c>
      <c r="M37">
        <v>157.15</v>
      </c>
      <c r="N37" t="s">
        <v>28</v>
      </c>
      <c r="O37">
        <v>0.65</v>
      </c>
      <c r="P37">
        <v>172.33</v>
      </c>
      <c r="Q37" t="s">
        <v>29</v>
      </c>
      <c r="R37">
        <v>0.26</v>
      </c>
      <c r="S37">
        <v>107.6</v>
      </c>
      <c r="T37" s="1" t="s">
        <v>33</v>
      </c>
      <c r="U37" s="1" t="s">
        <v>34</v>
      </c>
    </row>
    <row r="38" spans="1:21" ht="12" customHeight="1" x14ac:dyDescent="0.3">
      <c r="A38">
        <v>2021</v>
      </c>
      <c r="B38">
        <v>3</v>
      </c>
      <c r="C38">
        <v>30194</v>
      </c>
      <c r="D38">
        <v>32467</v>
      </c>
      <c r="E38" t="s">
        <v>21</v>
      </c>
      <c r="F38" t="s">
        <v>22</v>
      </c>
      <c r="G38">
        <v>11298</v>
      </c>
      <c r="H38">
        <v>13303</v>
      </c>
      <c r="I38" t="s">
        <v>27</v>
      </c>
      <c r="J38" t="s">
        <v>26</v>
      </c>
      <c r="K38">
        <v>1121</v>
      </c>
      <c r="L38">
        <v>461</v>
      </c>
      <c r="M38">
        <v>233.04</v>
      </c>
      <c r="N38" t="s">
        <v>28</v>
      </c>
      <c r="O38">
        <v>0.75</v>
      </c>
      <c r="P38">
        <v>256.47000000000003</v>
      </c>
      <c r="Q38" t="s">
        <v>36</v>
      </c>
      <c r="R38">
        <v>0.02</v>
      </c>
      <c r="S38">
        <v>119.45</v>
      </c>
      <c r="T38" s="1" t="s">
        <v>33</v>
      </c>
      <c r="U38" s="1" t="s">
        <v>34</v>
      </c>
    </row>
    <row r="39" spans="1:21" ht="12" customHeight="1" x14ac:dyDescent="0.3">
      <c r="A39">
        <v>2021</v>
      </c>
      <c r="B39">
        <v>1</v>
      </c>
      <c r="C39">
        <v>30194</v>
      </c>
      <c r="D39">
        <v>32467</v>
      </c>
      <c r="E39" t="s">
        <v>21</v>
      </c>
      <c r="F39" t="s">
        <v>22</v>
      </c>
      <c r="G39">
        <v>11259</v>
      </c>
      <c r="H39">
        <v>13303</v>
      </c>
      <c r="I39" t="s">
        <v>23</v>
      </c>
      <c r="J39" t="s">
        <v>26</v>
      </c>
      <c r="K39">
        <v>1121</v>
      </c>
      <c r="L39">
        <v>5</v>
      </c>
      <c r="M39">
        <v>209.62</v>
      </c>
      <c r="N39" t="s">
        <v>32</v>
      </c>
      <c r="O39">
        <v>0.78</v>
      </c>
      <c r="P39">
        <v>228.2</v>
      </c>
      <c r="Q39" t="s">
        <v>31</v>
      </c>
      <c r="R39">
        <v>0.21</v>
      </c>
      <c r="S39">
        <v>142.76</v>
      </c>
      <c r="T39" s="1" t="s">
        <v>33</v>
      </c>
      <c r="U39" s="1" t="s">
        <v>34</v>
      </c>
    </row>
    <row r="40" spans="1:21" ht="12" customHeight="1" x14ac:dyDescent="0.3">
      <c r="A40">
        <v>2021</v>
      </c>
      <c r="B40">
        <v>3</v>
      </c>
      <c r="C40">
        <v>30194</v>
      </c>
      <c r="D40">
        <v>32467</v>
      </c>
      <c r="E40" t="s">
        <v>21</v>
      </c>
      <c r="F40" t="s">
        <v>22</v>
      </c>
      <c r="G40">
        <v>11259</v>
      </c>
      <c r="H40">
        <v>13303</v>
      </c>
      <c r="I40" t="s">
        <v>23</v>
      </c>
      <c r="J40" t="s">
        <v>26</v>
      </c>
      <c r="K40">
        <v>1121</v>
      </c>
      <c r="L40">
        <v>8</v>
      </c>
      <c r="M40">
        <v>142.44999999999999</v>
      </c>
      <c r="N40" t="s">
        <v>32</v>
      </c>
      <c r="O40">
        <v>0.49</v>
      </c>
      <c r="P40">
        <v>170.88</v>
      </c>
      <c r="Q40" t="s">
        <v>31</v>
      </c>
      <c r="R40">
        <v>0.46</v>
      </c>
      <c r="S40">
        <v>115.83</v>
      </c>
      <c r="T40" s="1" t="s">
        <v>33</v>
      </c>
      <c r="U40" s="1" t="s">
        <v>34</v>
      </c>
    </row>
    <row r="41" spans="1:21" ht="12" customHeight="1" x14ac:dyDescent="0.3">
      <c r="A41">
        <v>2021</v>
      </c>
      <c r="B41">
        <v>4</v>
      </c>
      <c r="C41">
        <v>30194</v>
      </c>
      <c r="D41">
        <v>32467</v>
      </c>
      <c r="E41" t="s">
        <v>21</v>
      </c>
      <c r="F41" t="s">
        <v>22</v>
      </c>
      <c r="G41">
        <v>11298</v>
      </c>
      <c r="H41">
        <v>11697</v>
      </c>
      <c r="I41" t="s">
        <v>27</v>
      </c>
      <c r="J41" t="s">
        <v>24</v>
      </c>
      <c r="K41">
        <v>1121</v>
      </c>
      <c r="L41">
        <v>393</v>
      </c>
      <c r="M41">
        <v>224.78</v>
      </c>
      <c r="N41" t="s">
        <v>28</v>
      </c>
      <c r="O41">
        <v>0.55000000000000004</v>
      </c>
      <c r="P41">
        <v>230.68</v>
      </c>
      <c r="Q41" t="s">
        <v>31</v>
      </c>
      <c r="R41">
        <v>0.32</v>
      </c>
      <c r="S41">
        <v>215.23</v>
      </c>
      <c r="T41" s="1" t="s">
        <v>33</v>
      </c>
      <c r="U41" s="1" t="s">
        <v>34</v>
      </c>
    </row>
    <row r="42" spans="1:21" ht="12" customHeight="1" x14ac:dyDescent="0.3">
      <c r="A42">
        <v>2021</v>
      </c>
      <c r="B42">
        <v>1</v>
      </c>
      <c r="C42">
        <v>30194</v>
      </c>
      <c r="D42">
        <v>32467</v>
      </c>
      <c r="E42" t="s">
        <v>21</v>
      </c>
      <c r="F42" t="s">
        <v>22</v>
      </c>
      <c r="G42">
        <v>11259</v>
      </c>
      <c r="H42">
        <v>13303</v>
      </c>
      <c r="I42" t="s">
        <v>23</v>
      </c>
      <c r="J42" t="s">
        <v>26</v>
      </c>
      <c r="K42">
        <v>1121</v>
      </c>
      <c r="L42">
        <v>3</v>
      </c>
      <c r="M42">
        <v>242.37</v>
      </c>
      <c r="N42" t="s">
        <v>32</v>
      </c>
      <c r="O42">
        <v>0.88</v>
      </c>
      <c r="P42">
        <v>250.68</v>
      </c>
      <c r="Q42" t="s">
        <v>32</v>
      </c>
      <c r="R42">
        <v>0.88</v>
      </c>
      <c r="S42">
        <v>250.68</v>
      </c>
      <c r="T42" s="1" t="s">
        <v>33</v>
      </c>
      <c r="U42" s="1" t="s">
        <v>34</v>
      </c>
    </row>
    <row r="43" spans="1:21" ht="12" customHeight="1" x14ac:dyDescent="0.3">
      <c r="A43">
        <v>2021</v>
      </c>
      <c r="B43">
        <v>3</v>
      </c>
      <c r="C43">
        <v>30194</v>
      </c>
      <c r="D43">
        <v>32467</v>
      </c>
      <c r="E43" t="s">
        <v>21</v>
      </c>
      <c r="F43" t="s">
        <v>22</v>
      </c>
      <c r="G43">
        <v>11298</v>
      </c>
      <c r="H43">
        <v>13303</v>
      </c>
      <c r="I43" t="s">
        <v>27</v>
      </c>
      <c r="J43" t="s">
        <v>26</v>
      </c>
      <c r="K43">
        <v>1121</v>
      </c>
      <c r="L43">
        <v>568</v>
      </c>
      <c r="M43">
        <v>211.15</v>
      </c>
      <c r="N43" t="s">
        <v>28</v>
      </c>
      <c r="O43">
        <v>0.81</v>
      </c>
      <c r="P43">
        <v>220.19</v>
      </c>
      <c r="Q43" t="s">
        <v>35</v>
      </c>
      <c r="R43">
        <v>0.02</v>
      </c>
      <c r="S43">
        <v>143.82</v>
      </c>
      <c r="T43" s="1" t="s">
        <v>33</v>
      </c>
      <c r="U43" s="1" t="s">
        <v>34</v>
      </c>
    </row>
    <row r="44" spans="1:21" ht="12" customHeight="1" x14ac:dyDescent="0.3">
      <c r="A44">
        <v>2021</v>
      </c>
      <c r="B44">
        <v>3</v>
      </c>
      <c r="C44">
        <v>30194</v>
      </c>
      <c r="D44">
        <v>32467</v>
      </c>
      <c r="E44" t="s">
        <v>21</v>
      </c>
      <c r="F44" t="s">
        <v>22</v>
      </c>
      <c r="G44">
        <v>11298</v>
      </c>
      <c r="H44">
        <v>13303</v>
      </c>
      <c r="I44" t="s">
        <v>27</v>
      </c>
      <c r="J44" t="s">
        <v>26</v>
      </c>
      <c r="K44">
        <v>1121</v>
      </c>
      <c r="L44">
        <v>502</v>
      </c>
      <c r="M44">
        <v>205.74</v>
      </c>
      <c r="N44" t="s">
        <v>28</v>
      </c>
      <c r="O44">
        <v>0.91</v>
      </c>
      <c r="P44">
        <v>206.98</v>
      </c>
      <c r="Q44" t="s">
        <v>31</v>
      </c>
      <c r="R44">
        <v>0.01</v>
      </c>
      <c r="S44">
        <v>156.38999999999999</v>
      </c>
      <c r="T44" s="1" t="s">
        <v>33</v>
      </c>
      <c r="U44" s="1" t="s">
        <v>34</v>
      </c>
    </row>
    <row r="45" spans="1:21" ht="12" customHeight="1" x14ac:dyDescent="0.3">
      <c r="A45">
        <v>2021</v>
      </c>
      <c r="B45">
        <v>1</v>
      </c>
      <c r="C45">
        <v>30194</v>
      </c>
      <c r="D45">
        <v>32467</v>
      </c>
      <c r="E45" t="s">
        <v>21</v>
      </c>
      <c r="F45" t="s">
        <v>22</v>
      </c>
      <c r="G45">
        <v>11298</v>
      </c>
      <c r="H45">
        <v>11697</v>
      </c>
      <c r="I45" t="s">
        <v>27</v>
      </c>
      <c r="J45" t="s">
        <v>24</v>
      </c>
      <c r="K45">
        <v>1121</v>
      </c>
      <c r="L45">
        <v>616</v>
      </c>
      <c r="M45">
        <v>217.37</v>
      </c>
      <c r="N45" t="s">
        <v>28</v>
      </c>
      <c r="O45">
        <v>0.51</v>
      </c>
      <c r="P45">
        <v>227.67</v>
      </c>
      <c r="Q45" t="s">
        <v>31</v>
      </c>
      <c r="R45">
        <v>0.34</v>
      </c>
      <c r="S45">
        <v>211.07</v>
      </c>
      <c r="T45" s="1" t="s">
        <v>33</v>
      </c>
      <c r="U45" s="1" t="s">
        <v>34</v>
      </c>
    </row>
    <row r="46" spans="1:21" ht="12" customHeight="1" x14ac:dyDescent="0.3">
      <c r="A46">
        <v>2021</v>
      </c>
      <c r="B46">
        <v>4</v>
      </c>
      <c r="C46">
        <v>30194</v>
      </c>
      <c r="D46">
        <v>32467</v>
      </c>
      <c r="E46" t="s">
        <v>21</v>
      </c>
      <c r="F46" t="s">
        <v>22</v>
      </c>
      <c r="G46">
        <v>11259</v>
      </c>
      <c r="H46">
        <v>11697</v>
      </c>
      <c r="I46" t="s">
        <v>23</v>
      </c>
      <c r="J46" t="s">
        <v>24</v>
      </c>
      <c r="K46">
        <v>1121</v>
      </c>
      <c r="L46">
        <v>74</v>
      </c>
      <c r="M46">
        <v>200.18</v>
      </c>
      <c r="N46" t="s">
        <v>25</v>
      </c>
      <c r="O46">
        <v>0.92</v>
      </c>
      <c r="P46">
        <v>197.42</v>
      </c>
      <c r="Q46" t="s">
        <v>25</v>
      </c>
      <c r="R46">
        <v>0.92</v>
      </c>
      <c r="S46">
        <v>197.42</v>
      </c>
      <c r="T46" s="1" t="s">
        <v>33</v>
      </c>
      <c r="U46" s="1" t="s">
        <v>34</v>
      </c>
    </row>
    <row r="47" spans="1:21" ht="12" customHeight="1" x14ac:dyDescent="0.3">
      <c r="A47">
        <v>2021</v>
      </c>
      <c r="B47">
        <v>3</v>
      </c>
      <c r="C47">
        <v>30194</v>
      </c>
      <c r="D47">
        <v>32467</v>
      </c>
      <c r="E47" t="s">
        <v>21</v>
      </c>
      <c r="F47" t="s">
        <v>22</v>
      </c>
      <c r="G47">
        <v>11298</v>
      </c>
      <c r="H47">
        <v>13303</v>
      </c>
      <c r="I47" t="s">
        <v>27</v>
      </c>
      <c r="J47" t="s">
        <v>26</v>
      </c>
      <c r="K47">
        <v>1121</v>
      </c>
      <c r="L47">
        <v>384</v>
      </c>
      <c r="M47">
        <v>250.05</v>
      </c>
      <c r="N47" t="s">
        <v>28</v>
      </c>
      <c r="O47">
        <v>0.83</v>
      </c>
      <c r="P47">
        <v>261.95</v>
      </c>
      <c r="Q47" t="s">
        <v>36</v>
      </c>
      <c r="R47">
        <v>0.01</v>
      </c>
      <c r="S47">
        <v>127.31</v>
      </c>
      <c r="T47" s="1" t="s">
        <v>33</v>
      </c>
      <c r="U47" s="1" t="s">
        <v>34</v>
      </c>
    </row>
    <row r="48" spans="1:21" ht="12" customHeight="1" x14ac:dyDescent="0.3">
      <c r="A48">
        <v>2021</v>
      </c>
      <c r="B48">
        <v>4</v>
      </c>
      <c r="C48">
        <v>30194</v>
      </c>
      <c r="D48">
        <v>32467</v>
      </c>
      <c r="E48" t="s">
        <v>21</v>
      </c>
      <c r="F48" t="s">
        <v>22</v>
      </c>
      <c r="G48">
        <v>11259</v>
      </c>
      <c r="H48">
        <v>11697</v>
      </c>
      <c r="I48" t="s">
        <v>23</v>
      </c>
      <c r="J48" t="s">
        <v>24</v>
      </c>
      <c r="K48">
        <v>1121</v>
      </c>
      <c r="L48">
        <v>96</v>
      </c>
      <c r="M48">
        <v>208.14</v>
      </c>
      <c r="N48" t="s">
        <v>25</v>
      </c>
      <c r="O48">
        <v>0.95</v>
      </c>
      <c r="P48">
        <v>209.89</v>
      </c>
      <c r="Q48" t="s">
        <v>31</v>
      </c>
      <c r="R48">
        <v>0.02</v>
      </c>
      <c r="S48">
        <v>170.64</v>
      </c>
      <c r="T48" s="1" t="s">
        <v>33</v>
      </c>
      <c r="U48" s="1" t="s">
        <v>34</v>
      </c>
    </row>
    <row r="49" spans="1:21" ht="12" customHeight="1" x14ac:dyDescent="0.3">
      <c r="A49">
        <v>2021</v>
      </c>
      <c r="B49">
        <v>3</v>
      </c>
      <c r="C49">
        <v>30194</v>
      </c>
      <c r="D49">
        <v>32467</v>
      </c>
      <c r="E49" t="s">
        <v>21</v>
      </c>
      <c r="F49" t="s">
        <v>22</v>
      </c>
      <c r="G49">
        <v>11259</v>
      </c>
      <c r="H49">
        <v>11697</v>
      </c>
      <c r="I49" t="s">
        <v>23</v>
      </c>
      <c r="J49" t="s">
        <v>24</v>
      </c>
      <c r="K49">
        <v>1121</v>
      </c>
      <c r="L49">
        <v>139</v>
      </c>
      <c r="M49">
        <v>188.55</v>
      </c>
      <c r="N49" t="s">
        <v>25</v>
      </c>
      <c r="O49">
        <v>0.93</v>
      </c>
      <c r="P49">
        <v>188.96</v>
      </c>
      <c r="Q49" t="s">
        <v>31</v>
      </c>
      <c r="R49">
        <v>0.03</v>
      </c>
      <c r="S49">
        <v>183.21</v>
      </c>
      <c r="T49" s="1" t="s">
        <v>33</v>
      </c>
      <c r="U49" s="1" t="s">
        <v>34</v>
      </c>
    </row>
    <row r="50" spans="1:21" ht="12" customHeight="1" x14ac:dyDescent="0.3">
      <c r="A50">
        <v>2021</v>
      </c>
      <c r="B50">
        <v>2</v>
      </c>
      <c r="C50">
        <v>30194</v>
      </c>
      <c r="D50">
        <v>32467</v>
      </c>
      <c r="E50" t="s">
        <v>21</v>
      </c>
      <c r="F50" t="s">
        <v>22</v>
      </c>
      <c r="G50">
        <v>11298</v>
      </c>
      <c r="H50">
        <v>11697</v>
      </c>
      <c r="I50" t="s">
        <v>27</v>
      </c>
      <c r="J50" t="s">
        <v>24</v>
      </c>
      <c r="K50">
        <v>1121</v>
      </c>
      <c r="L50">
        <v>456</v>
      </c>
      <c r="M50">
        <v>236.02</v>
      </c>
      <c r="N50" t="s">
        <v>28</v>
      </c>
      <c r="O50">
        <v>0.56000000000000005</v>
      </c>
      <c r="P50">
        <v>244.75</v>
      </c>
      <c r="Q50" t="s">
        <v>31</v>
      </c>
      <c r="R50">
        <v>0.24</v>
      </c>
      <c r="S50">
        <v>230.39</v>
      </c>
      <c r="T50" s="1" t="s">
        <v>33</v>
      </c>
      <c r="U50" s="1" t="s">
        <v>34</v>
      </c>
    </row>
    <row r="51" spans="1:21" ht="12" customHeight="1" x14ac:dyDescent="0.3">
      <c r="A51">
        <v>2021</v>
      </c>
      <c r="B51">
        <v>2</v>
      </c>
      <c r="C51">
        <v>30194</v>
      </c>
      <c r="D51">
        <v>32467</v>
      </c>
      <c r="E51" t="s">
        <v>21</v>
      </c>
      <c r="F51" t="s">
        <v>22</v>
      </c>
      <c r="G51">
        <v>11298</v>
      </c>
      <c r="H51">
        <v>11697</v>
      </c>
      <c r="I51" t="s">
        <v>27</v>
      </c>
      <c r="J51" t="s">
        <v>24</v>
      </c>
      <c r="K51">
        <v>1121</v>
      </c>
      <c r="L51">
        <v>535</v>
      </c>
      <c r="M51">
        <v>183.52</v>
      </c>
      <c r="N51" t="s">
        <v>28</v>
      </c>
      <c r="O51">
        <v>0.76</v>
      </c>
      <c r="P51">
        <v>191.09</v>
      </c>
      <c r="Q51" t="s">
        <v>35</v>
      </c>
      <c r="R51">
        <v>0.06</v>
      </c>
      <c r="S51">
        <v>143.22</v>
      </c>
      <c r="T51" s="1" t="s">
        <v>33</v>
      </c>
      <c r="U51" s="1" t="s">
        <v>34</v>
      </c>
    </row>
    <row r="52" spans="1:21" ht="12" customHeight="1" x14ac:dyDescent="0.3">
      <c r="A52">
        <v>2021</v>
      </c>
      <c r="B52">
        <v>3</v>
      </c>
      <c r="C52">
        <v>30194</v>
      </c>
      <c r="D52">
        <v>32467</v>
      </c>
      <c r="E52" t="s">
        <v>21</v>
      </c>
      <c r="F52" t="s">
        <v>22</v>
      </c>
      <c r="G52">
        <v>11298</v>
      </c>
      <c r="H52">
        <v>11697</v>
      </c>
      <c r="I52" t="s">
        <v>27</v>
      </c>
      <c r="J52" t="s">
        <v>24</v>
      </c>
      <c r="K52">
        <v>1121</v>
      </c>
      <c r="L52">
        <v>474</v>
      </c>
      <c r="M52">
        <v>180.97</v>
      </c>
      <c r="N52" t="s">
        <v>28</v>
      </c>
      <c r="O52">
        <v>0.78</v>
      </c>
      <c r="P52">
        <v>188.59</v>
      </c>
      <c r="Q52" t="s">
        <v>35</v>
      </c>
      <c r="R52">
        <v>0.04</v>
      </c>
      <c r="S52">
        <v>133.22999999999999</v>
      </c>
      <c r="T52" s="1" t="s">
        <v>33</v>
      </c>
      <c r="U52" s="1" t="s">
        <v>34</v>
      </c>
    </row>
    <row r="53" spans="1:21" ht="12" customHeight="1" x14ac:dyDescent="0.3">
      <c r="A53">
        <v>2021</v>
      </c>
      <c r="B53">
        <v>2</v>
      </c>
      <c r="C53">
        <v>30194</v>
      </c>
      <c r="D53">
        <v>32467</v>
      </c>
      <c r="E53" t="s">
        <v>21</v>
      </c>
      <c r="F53" t="s">
        <v>22</v>
      </c>
      <c r="G53">
        <v>11298</v>
      </c>
      <c r="H53">
        <v>11697</v>
      </c>
      <c r="I53" t="s">
        <v>27</v>
      </c>
      <c r="J53" t="s">
        <v>24</v>
      </c>
      <c r="K53">
        <v>1121</v>
      </c>
      <c r="L53">
        <v>632</v>
      </c>
      <c r="M53">
        <v>209.82</v>
      </c>
      <c r="N53" t="s">
        <v>28</v>
      </c>
      <c r="O53">
        <v>0.46</v>
      </c>
      <c r="P53">
        <v>219.93</v>
      </c>
      <c r="Q53" t="s">
        <v>31</v>
      </c>
      <c r="R53">
        <v>0.39</v>
      </c>
      <c r="S53">
        <v>205.63</v>
      </c>
      <c r="T53" s="1" t="s">
        <v>33</v>
      </c>
      <c r="U53" s="1" t="s">
        <v>34</v>
      </c>
    </row>
    <row r="54" spans="1:21" ht="12" customHeight="1" x14ac:dyDescent="0.3">
      <c r="A54">
        <v>2021</v>
      </c>
      <c r="B54">
        <v>2</v>
      </c>
      <c r="C54">
        <v>30194</v>
      </c>
      <c r="D54">
        <v>32467</v>
      </c>
      <c r="E54" t="s">
        <v>21</v>
      </c>
      <c r="F54" t="s">
        <v>22</v>
      </c>
      <c r="G54">
        <v>11298</v>
      </c>
      <c r="H54">
        <v>11697</v>
      </c>
      <c r="I54" t="s">
        <v>27</v>
      </c>
      <c r="J54" t="s">
        <v>24</v>
      </c>
      <c r="K54">
        <v>1121</v>
      </c>
      <c r="L54">
        <v>676</v>
      </c>
      <c r="M54">
        <v>205.68</v>
      </c>
      <c r="N54" t="s">
        <v>28</v>
      </c>
      <c r="O54">
        <v>0.84</v>
      </c>
      <c r="P54">
        <v>207.02</v>
      </c>
      <c r="Q54" t="s">
        <v>35</v>
      </c>
      <c r="R54">
        <v>0.06</v>
      </c>
      <c r="S54">
        <v>171.83</v>
      </c>
      <c r="T54" s="1" t="s">
        <v>33</v>
      </c>
      <c r="U54" s="1" t="s">
        <v>34</v>
      </c>
    </row>
    <row r="55" spans="1:21" ht="12" customHeight="1" x14ac:dyDescent="0.3">
      <c r="A55">
        <v>2021</v>
      </c>
      <c r="B55">
        <v>4</v>
      </c>
      <c r="C55">
        <v>30194</v>
      </c>
      <c r="D55">
        <v>32467</v>
      </c>
      <c r="E55" t="s">
        <v>21</v>
      </c>
      <c r="F55" t="s">
        <v>22</v>
      </c>
      <c r="G55">
        <v>11298</v>
      </c>
      <c r="H55">
        <v>13303</v>
      </c>
      <c r="I55" t="s">
        <v>27</v>
      </c>
      <c r="J55" t="s">
        <v>26</v>
      </c>
      <c r="K55">
        <v>1121</v>
      </c>
      <c r="L55">
        <v>541</v>
      </c>
      <c r="M55">
        <v>220.13</v>
      </c>
      <c r="N55" t="s">
        <v>28</v>
      </c>
      <c r="O55">
        <v>0.84</v>
      </c>
      <c r="P55">
        <v>227.52</v>
      </c>
      <c r="Q55" t="s">
        <v>31</v>
      </c>
      <c r="R55">
        <v>0.03</v>
      </c>
      <c r="S55">
        <v>143.80000000000001</v>
      </c>
      <c r="T55" s="1" t="s">
        <v>33</v>
      </c>
      <c r="U55" s="1" t="s">
        <v>34</v>
      </c>
    </row>
    <row r="56" spans="1:21" ht="12" customHeight="1" x14ac:dyDescent="0.3">
      <c r="A56">
        <v>2021</v>
      </c>
      <c r="B56">
        <v>4</v>
      </c>
      <c r="C56">
        <v>30194</v>
      </c>
      <c r="D56">
        <v>32467</v>
      </c>
      <c r="E56" t="s">
        <v>21</v>
      </c>
      <c r="F56" t="s">
        <v>22</v>
      </c>
      <c r="G56">
        <v>11259</v>
      </c>
      <c r="H56">
        <v>11697</v>
      </c>
      <c r="I56" t="s">
        <v>23</v>
      </c>
      <c r="J56" t="s">
        <v>24</v>
      </c>
      <c r="K56">
        <v>1121</v>
      </c>
      <c r="L56">
        <v>258</v>
      </c>
      <c r="M56">
        <v>178.09</v>
      </c>
      <c r="N56" t="s">
        <v>25</v>
      </c>
      <c r="O56">
        <v>0.94</v>
      </c>
      <c r="P56">
        <v>176.6</v>
      </c>
      <c r="Q56" t="s">
        <v>25</v>
      </c>
      <c r="R56">
        <v>0.94</v>
      </c>
      <c r="S56">
        <v>176.6</v>
      </c>
      <c r="T56" s="1" t="s">
        <v>33</v>
      </c>
      <c r="U56" s="1" t="s">
        <v>34</v>
      </c>
    </row>
    <row r="57" spans="1:21" ht="12" customHeight="1" x14ac:dyDescent="0.3">
      <c r="A57">
        <v>2021</v>
      </c>
      <c r="B57">
        <v>1</v>
      </c>
      <c r="C57">
        <v>30194</v>
      </c>
      <c r="D57">
        <v>32467</v>
      </c>
      <c r="E57" t="s">
        <v>21</v>
      </c>
      <c r="F57" t="s">
        <v>22</v>
      </c>
      <c r="G57">
        <v>11298</v>
      </c>
      <c r="H57">
        <v>11697</v>
      </c>
      <c r="I57" t="s">
        <v>27</v>
      </c>
      <c r="J57" t="s">
        <v>24</v>
      </c>
      <c r="K57">
        <v>1121</v>
      </c>
      <c r="L57">
        <v>577</v>
      </c>
      <c r="M57">
        <v>222.64</v>
      </c>
      <c r="N57" t="s">
        <v>28</v>
      </c>
      <c r="O57">
        <v>0.51</v>
      </c>
      <c r="P57">
        <v>233.35</v>
      </c>
      <c r="Q57" t="s">
        <v>31</v>
      </c>
      <c r="R57">
        <v>0.35</v>
      </c>
      <c r="S57">
        <v>218.1</v>
      </c>
      <c r="T57" s="1" t="s">
        <v>33</v>
      </c>
      <c r="U57" s="1" t="s">
        <v>34</v>
      </c>
    </row>
    <row r="58" spans="1:21" ht="12" customHeight="1" x14ac:dyDescent="0.3">
      <c r="A58">
        <v>2021</v>
      </c>
      <c r="B58">
        <v>1</v>
      </c>
      <c r="C58">
        <v>30194</v>
      </c>
      <c r="D58">
        <v>32467</v>
      </c>
      <c r="E58" t="s">
        <v>21</v>
      </c>
      <c r="F58" t="s">
        <v>22</v>
      </c>
      <c r="G58">
        <v>11298</v>
      </c>
      <c r="H58">
        <v>13303</v>
      </c>
      <c r="I58" t="s">
        <v>27</v>
      </c>
      <c r="J58" t="s">
        <v>26</v>
      </c>
      <c r="K58">
        <v>1121</v>
      </c>
      <c r="L58">
        <v>442</v>
      </c>
      <c r="M58">
        <v>236.49</v>
      </c>
      <c r="N58" t="s">
        <v>28</v>
      </c>
      <c r="O58">
        <v>0.76</v>
      </c>
      <c r="P58">
        <v>247.62</v>
      </c>
      <c r="Q58" t="s">
        <v>31</v>
      </c>
      <c r="R58">
        <v>0.1</v>
      </c>
      <c r="S58">
        <v>188.57</v>
      </c>
      <c r="T58" s="1" t="s">
        <v>33</v>
      </c>
      <c r="U58" s="1" t="s">
        <v>34</v>
      </c>
    </row>
    <row r="59" spans="1:21" ht="12" customHeight="1" x14ac:dyDescent="0.3">
      <c r="A59">
        <v>2021</v>
      </c>
      <c r="B59">
        <v>4</v>
      </c>
      <c r="C59">
        <v>30194</v>
      </c>
      <c r="D59">
        <v>32467</v>
      </c>
      <c r="E59" t="s">
        <v>21</v>
      </c>
      <c r="F59" t="s">
        <v>22</v>
      </c>
      <c r="G59">
        <v>11298</v>
      </c>
      <c r="H59">
        <v>11697</v>
      </c>
      <c r="I59" t="s">
        <v>27</v>
      </c>
      <c r="J59" t="s">
        <v>24</v>
      </c>
      <c r="K59">
        <v>1121</v>
      </c>
      <c r="L59">
        <v>761</v>
      </c>
      <c r="M59">
        <v>157.69999999999999</v>
      </c>
      <c r="N59" t="s">
        <v>28</v>
      </c>
      <c r="O59">
        <v>0.72</v>
      </c>
      <c r="P59">
        <v>159.37</v>
      </c>
      <c r="Q59" t="s">
        <v>31</v>
      </c>
      <c r="R59">
        <v>0.15</v>
      </c>
      <c r="S59">
        <v>156.65</v>
      </c>
      <c r="T59" s="1" t="s">
        <v>33</v>
      </c>
      <c r="U59" s="1" t="s">
        <v>34</v>
      </c>
    </row>
    <row r="60" spans="1:21" ht="12" customHeight="1" x14ac:dyDescent="0.3">
      <c r="A60">
        <v>2021</v>
      </c>
      <c r="B60">
        <v>2</v>
      </c>
      <c r="C60">
        <v>30194</v>
      </c>
      <c r="D60">
        <v>32467</v>
      </c>
      <c r="E60" t="s">
        <v>21</v>
      </c>
      <c r="F60" t="s">
        <v>22</v>
      </c>
      <c r="G60">
        <v>11259</v>
      </c>
      <c r="H60">
        <v>11697</v>
      </c>
      <c r="I60" t="s">
        <v>23</v>
      </c>
      <c r="J60" t="s">
        <v>24</v>
      </c>
      <c r="K60">
        <v>1121</v>
      </c>
      <c r="L60">
        <v>78</v>
      </c>
      <c r="M60">
        <v>212.44</v>
      </c>
      <c r="N60" t="s">
        <v>25</v>
      </c>
      <c r="O60">
        <v>0.88</v>
      </c>
      <c r="P60">
        <v>214.33</v>
      </c>
      <c r="Q60" t="s">
        <v>31</v>
      </c>
      <c r="R60">
        <v>0.02</v>
      </c>
      <c r="S60">
        <v>163.84</v>
      </c>
      <c r="T60" s="1" t="s">
        <v>33</v>
      </c>
      <c r="U60" s="1" t="s">
        <v>34</v>
      </c>
    </row>
    <row r="61" spans="1:21" ht="12" customHeight="1" x14ac:dyDescent="0.3">
      <c r="A61">
        <v>2021</v>
      </c>
      <c r="B61">
        <v>2</v>
      </c>
      <c r="C61">
        <v>30194</v>
      </c>
      <c r="D61">
        <v>32467</v>
      </c>
      <c r="E61" t="s">
        <v>21</v>
      </c>
      <c r="F61" t="s">
        <v>22</v>
      </c>
      <c r="G61">
        <v>11259</v>
      </c>
      <c r="H61">
        <v>11697</v>
      </c>
      <c r="I61" t="s">
        <v>23</v>
      </c>
      <c r="J61" t="s">
        <v>24</v>
      </c>
      <c r="K61">
        <v>1121</v>
      </c>
      <c r="L61">
        <v>9</v>
      </c>
      <c r="M61">
        <v>216.82</v>
      </c>
      <c r="N61" t="s">
        <v>32</v>
      </c>
      <c r="O61">
        <v>0.65</v>
      </c>
      <c r="P61">
        <v>174.66</v>
      </c>
      <c r="Q61" t="s">
        <v>32</v>
      </c>
      <c r="R61">
        <v>0.65</v>
      </c>
      <c r="S61">
        <v>174.66</v>
      </c>
      <c r="T61" s="1" t="s">
        <v>33</v>
      </c>
      <c r="U61" s="1" t="s">
        <v>34</v>
      </c>
    </row>
    <row r="62" spans="1:21" ht="12" customHeight="1" x14ac:dyDescent="0.3">
      <c r="A62">
        <v>2021</v>
      </c>
      <c r="B62">
        <v>4</v>
      </c>
      <c r="C62">
        <v>30194</v>
      </c>
      <c r="D62">
        <v>32467</v>
      </c>
      <c r="E62" t="s">
        <v>21</v>
      </c>
      <c r="F62" t="s">
        <v>22</v>
      </c>
      <c r="G62">
        <v>11259</v>
      </c>
      <c r="H62">
        <v>13303</v>
      </c>
      <c r="I62" t="s">
        <v>23</v>
      </c>
      <c r="J62" t="s">
        <v>26</v>
      </c>
      <c r="K62">
        <v>1121</v>
      </c>
      <c r="L62">
        <v>8</v>
      </c>
      <c r="M62">
        <v>167.77</v>
      </c>
      <c r="N62" t="s">
        <v>32</v>
      </c>
      <c r="O62">
        <v>0.88</v>
      </c>
      <c r="P62">
        <v>165.31</v>
      </c>
      <c r="Q62" t="s">
        <v>32</v>
      </c>
      <c r="R62">
        <v>0.88</v>
      </c>
      <c r="S62">
        <v>165.31</v>
      </c>
      <c r="T62" s="1" t="s">
        <v>33</v>
      </c>
      <c r="U62" s="1" t="s">
        <v>34</v>
      </c>
    </row>
    <row r="63" spans="1:21" ht="12" customHeight="1" x14ac:dyDescent="0.3">
      <c r="A63">
        <v>2021</v>
      </c>
      <c r="B63">
        <v>1</v>
      </c>
      <c r="C63">
        <v>30194</v>
      </c>
      <c r="D63">
        <v>32467</v>
      </c>
      <c r="E63" t="s">
        <v>21</v>
      </c>
      <c r="F63" t="s">
        <v>22</v>
      </c>
      <c r="G63">
        <v>11259</v>
      </c>
      <c r="H63">
        <v>13303</v>
      </c>
      <c r="I63" t="s">
        <v>23</v>
      </c>
      <c r="J63" t="s">
        <v>26</v>
      </c>
      <c r="K63">
        <v>1121</v>
      </c>
      <c r="L63">
        <v>7</v>
      </c>
      <c r="M63">
        <v>196.24</v>
      </c>
      <c r="N63" t="s">
        <v>32</v>
      </c>
      <c r="O63">
        <v>0.95</v>
      </c>
      <c r="P63">
        <v>196.39</v>
      </c>
      <c r="Q63" t="s">
        <v>36</v>
      </c>
      <c r="R63">
        <v>0.01</v>
      </c>
      <c r="S63">
        <v>78.3</v>
      </c>
      <c r="T63" s="1" t="s">
        <v>33</v>
      </c>
      <c r="U63" s="1" t="s">
        <v>34</v>
      </c>
    </row>
    <row r="64" spans="1:21" ht="12" customHeight="1" x14ac:dyDescent="0.3">
      <c r="A64">
        <v>2021</v>
      </c>
      <c r="B64">
        <v>4</v>
      </c>
      <c r="C64">
        <v>30194</v>
      </c>
      <c r="D64">
        <v>32467</v>
      </c>
      <c r="E64" t="s">
        <v>21</v>
      </c>
      <c r="F64" t="s">
        <v>22</v>
      </c>
      <c r="G64">
        <v>11298</v>
      </c>
      <c r="H64">
        <v>11697</v>
      </c>
      <c r="I64" t="s">
        <v>27</v>
      </c>
      <c r="J64" t="s">
        <v>24</v>
      </c>
      <c r="K64">
        <v>1121</v>
      </c>
      <c r="L64">
        <v>625</v>
      </c>
      <c r="M64">
        <v>194.39</v>
      </c>
      <c r="N64" t="s">
        <v>28</v>
      </c>
      <c r="O64">
        <v>0.86</v>
      </c>
      <c r="P64">
        <v>193.91</v>
      </c>
      <c r="Q64" t="s">
        <v>31</v>
      </c>
      <c r="R64">
        <v>0.04</v>
      </c>
      <c r="S64">
        <v>179.23</v>
      </c>
      <c r="T64" s="1" t="s">
        <v>33</v>
      </c>
      <c r="U64" s="1" t="s">
        <v>34</v>
      </c>
    </row>
    <row r="65" spans="1:21" ht="12" customHeight="1" x14ac:dyDescent="0.3">
      <c r="A65">
        <v>2021</v>
      </c>
      <c r="B65">
        <v>2</v>
      </c>
      <c r="C65">
        <v>30194</v>
      </c>
      <c r="D65">
        <v>32467</v>
      </c>
      <c r="E65" t="s">
        <v>21</v>
      </c>
      <c r="F65" t="s">
        <v>22</v>
      </c>
      <c r="G65">
        <v>11298</v>
      </c>
      <c r="H65">
        <v>13303</v>
      </c>
      <c r="I65" t="s">
        <v>27</v>
      </c>
      <c r="J65" t="s">
        <v>26</v>
      </c>
      <c r="K65">
        <v>1121</v>
      </c>
      <c r="L65">
        <v>561</v>
      </c>
      <c r="M65">
        <v>238.52</v>
      </c>
      <c r="N65" t="s">
        <v>28</v>
      </c>
      <c r="O65">
        <v>0.9</v>
      </c>
      <c r="P65">
        <v>239.82</v>
      </c>
      <c r="Q65" t="s">
        <v>31</v>
      </c>
      <c r="R65">
        <v>0.01</v>
      </c>
      <c r="S65">
        <v>170.37</v>
      </c>
      <c r="T65" s="1" t="s">
        <v>33</v>
      </c>
      <c r="U65" s="1" t="s">
        <v>34</v>
      </c>
    </row>
    <row r="66" spans="1:21" ht="12" customHeight="1" x14ac:dyDescent="0.3">
      <c r="A66">
        <v>2021</v>
      </c>
      <c r="B66">
        <v>1</v>
      </c>
      <c r="C66">
        <v>30194</v>
      </c>
      <c r="D66">
        <v>32467</v>
      </c>
      <c r="E66" t="s">
        <v>21</v>
      </c>
      <c r="F66" t="s">
        <v>22</v>
      </c>
      <c r="G66">
        <v>11259</v>
      </c>
      <c r="H66">
        <v>11697</v>
      </c>
      <c r="I66" t="s">
        <v>23</v>
      </c>
      <c r="J66" t="s">
        <v>24</v>
      </c>
      <c r="K66">
        <v>1121</v>
      </c>
      <c r="L66">
        <v>0</v>
      </c>
      <c r="M66">
        <v>104</v>
      </c>
      <c r="N66" t="s">
        <v>25</v>
      </c>
      <c r="O66">
        <v>1</v>
      </c>
      <c r="P66">
        <v>104</v>
      </c>
      <c r="Q66" t="s">
        <v>25</v>
      </c>
      <c r="R66">
        <v>1</v>
      </c>
      <c r="S66">
        <v>104</v>
      </c>
      <c r="T66" s="1" t="s">
        <v>33</v>
      </c>
      <c r="U66" s="1" t="s">
        <v>34</v>
      </c>
    </row>
    <row r="67" spans="1:21" ht="12" customHeight="1" x14ac:dyDescent="0.3">
      <c r="A67">
        <v>2021</v>
      </c>
      <c r="B67">
        <v>4</v>
      </c>
      <c r="C67">
        <v>30194</v>
      </c>
      <c r="D67">
        <v>32467</v>
      </c>
      <c r="E67" t="s">
        <v>21</v>
      </c>
      <c r="F67" t="s">
        <v>22</v>
      </c>
      <c r="G67">
        <v>11298</v>
      </c>
      <c r="H67">
        <v>13303</v>
      </c>
      <c r="I67" t="s">
        <v>27</v>
      </c>
      <c r="J67" t="s">
        <v>26</v>
      </c>
      <c r="K67">
        <v>1121</v>
      </c>
      <c r="L67">
        <v>442</v>
      </c>
      <c r="M67">
        <v>246.87</v>
      </c>
      <c r="N67" t="s">
        <v>28</v>
      </c>
      <c r="O67">
        <v>0.85</v>
      </c>
      <c r="P67">
        <v>249.44</v>
      </c>
      <c r="Q67" t="s">
        <v>32</v>
      </c>
      <c r="R67">
        <v>0.02</v>
      </c>
      <c r="S67">
        <v>189.54</v>
      </c>
      <c r="T67" s="1" t="s">
        <v>33</v>
      </c>
      <c r="U67" s="1" t="s">
        <v>34</v>
      </c>
    </row>
    <row r="68" spans="1:21" ht="12" customHeight="1" x14ac:dyDescent="0.3">
      <c r="A68">
        <v>2021</v>
      </c>
      <c r="B68">
        <v>3</v>
      </c>
      <c r="C68">
        <v>30194</v>
      </c>
      <c r="D68">
        <v>32467</v>
      </c>
      <c r="E68" t="s">
        <v>21</v>
      </c>
      <c r="F68" t="s">
        <v>22</v>
      </c>
      <c r="G68">
        <v>11298</v>
      </c>
      <c r="H68">
        <v>13303</v>
      </c>
      <c r="I68" t="s">
        <v>27</v>
      </c>
      <c r="J68" t="s">
        <v>26</v>
      </c>
      <c r="K68">
        <v>1121</v>
      </c>
      <c r="L68">
        <v>423</v>
      </c>
      <c r="M68">
        <v>202.31</v>
      </c>
      <c r="N68" t="s">
        <v>28</v>
      </c>
      <c r="O68">
        <v>0.78</v>
      </c>
      <c r="P68">
        <v>202.29</v>
      </c>
      <c r="Q68" t="s">
        <v>37</v>
      </c>
      <c r="R68">
        <v>0.03</v>
      </c>
      <c r="S68">
        <v>114.78</v>
      </c>
      <c r="T68" s="1" t="s">
        <v>33</v>
      </c>
      <c r="U68" s="1" t="s">
        <v>34</v>
      </c>
    </row>
    <row r="69" spans="1:21" ht="12" customHeight="1" x14ac:dyDescent="0.3">
      <c r="A69">
        <v>2021</v>
      </c>
      <c r="B69">
        <v>1</v>
      </c>
      <c r="C69">
        <v>30194</v>
      </c>
      <c r="D69">
        <v>32467</v>
      </c>
      <c r="E69" t="s">
        <v>21</v>
      </c>
      <c r="F69" t="s">
        <v>22</v>
      </c>
      <c r="G69">
        <v>11298</v>
      </c>
      <c r="H69">
        <v>13303</v>
      </c>
      <c r="I69" t="s">
        <v>27</v>
      </c>
      <c r="J69" t="s">
        <v>26</v>
      </c>
      <c r="K69">
        <v>1121</v>
      </c>
      <c r="L69">
        <v>597</v>
      </c>
      <c r="M69">
        <v>245.02</v>
      </c>
      <c r="N69" t="s">
        <v>28</v>
      </c>
      <c r="O69">
        <v>0.88</v>
      </c>
      <c r="P69">
        <v>250.58</v>
      </c>
      <c r="Q69" t="s">
        <v>32</v>
      </c>
      <c r="R69">
        <v>0.01</v>
      </c>
      <c r="S69">
        <v>155.16999999999999</v>
      </c>
      <c r="T69" s="1" t="s">
        <v>33</v>
      </c>
      <c r="U69" s="1" t="s">
        <v>34</v>
      </c>
    </row>
    <row r="70" spans="1:21" ht="12" customHeight="1" x14ac:dyDescent="0.3">
      <c r="A70">
        <v>2021</v>
      </c>
      <c r="B70">
        <v>2</v>
      </c>
      <c r="C70">
        <v>30194</v>
      </c>
      <c r="D70">
        <v>32467</v>
      </c>
      <c r="E70" t="s">
        <v>21</v>
      </c>
      <c r="F70" t="s">
        <v>22</v>
      </c>
      <c r="G70">
        <v>11298</v>
      </c>
      <c r="H70">
        <v>11697</v>
      </c>
      <c r="I70" t="s">
        <v>27</v>
      </c>
      <c r="J70" t="s">
        <v>24</v>
      </c>
      <c r="K70">
        <v>1121</v>
      </c>
      <c r="L70">
        <v>908</v>
      </c>
      <c r="M70">
        <v>178.55</v>
      </c>
      <c r="N70" t="s">
        <v>28</v>
      </c>
      <c r="O70">
        <v>0.8</v>
      </c>
      <c r="P70">
        <v>183.94</v>
      </c>
      <c r="Q70" t="s">
        <v>29</v>
      </c>
      <c r="R70">
        <v>0.1</v>
      </c>
      <c r="S70">
        <v>110.63</v>
      </c>
      <c r="T70" s="1" t="s">
        <v>33</v>
      </c>
      <c r="U70" s="1" t="s">
        <v>34</v>
      </c>
    </row>
    <row r="71" spans="1:21" ht="12" customHeight="1" x14ac:dyDescent="0.3">
      <c r="A71">
        <v>2021</v>
      </c>
      <c r="B71">
        <v>2</v>
      </c>
      <c r="C71">
        <v>30194</v>
      </c>
      <c r="D71">
        <v>32467</v>
      </c>
      <c r="E71" t="s">
        <v>21</v>
      </c>
      <c r="F71" t="s">
        <v>22</v>
      </c>
      <c r="G71">
        <v>11259</v>
      </c>
      <c r="H71">
        <v>13303</v>
      </c>
      <c r="I71" t="s">
        <v>23</v>
      </c>
      <c r="J71" t="s">
        <v>26</v>
      </c>
      <c r="K71">
        <v>1121</v>
      </c>
      <c r="L71">
        <v>11</v>
      </c>
      <c r="M71">
        <v>145.37</v>
      </c>
      <c r="N71" t="s">
        <v>32</v>
      </c>
      <c r="O71">
        <v>0.73</v>
      </c>
      <c r="P71">
        <v>139.96</v>
      </c>
      <c r="Q71" t="s">
        <v>32</v>
      </c>
      <c r="R71">
        <v>0.73</v>
      </c>
      <c r="S71">
        <v>139.96</v>
      </c>
      <c r="T71" s="1" t="s">
        <v>33</v>
      </c>
      <c r="U71" s="1" t="s">
        <v>34</v>
      </c>
    </row>
    <row r="72" spans="1:21" ht="12" customHeight="1" x14ac:dyDescent="0.3">
      <c r="A72">
        <v>2021</v>
      </c>
      <c r="B72">
        <v>1</v>
      </c>
      <c r="C72">
        <v>30194</v>
      </c>
      <c r="D72">
        <v>32467</v>
      </c>
      <c r="E72" t="s">
        <v>21</v>
      </c>
      <c r="F72" t="s">
        <v>22</v>
      </c>
      <c r="G72">
        <v>11298</v>
      </c>
      <c r="H72">
        <v>13303</v>
      </c>
      <c r="I72" t="s">
        <v>27</v>
      </c>
      <c r="J72" t="s">
        <v>26</v>
      </c>
      <c r="K72">
        <v>1121</v>
      </c>
      <c r="L72">
        <v>570</v>
      </c>
      <c r="M72">
        <v>276.04000000000002</v>
      </c>
      <c r="N72" t="s">
        <v>28</v>
      </c>
      <c r="O72">
        <v>0.87</v>
      </c>
      <c r="P72">
        <v>281.75</v>
      </c>
      <c r="Q72" t="s">
        <v>31</v>
      </c>
      <c r="R72">
        <v>0.03</v>
      </c>
      <c r="S72">
        <v>203.78</v>
      </c>
      <c r="T72" s="1" t="s">
        <v>33</v>
      </c>
      <c r="U72" s="1" t="s">
        <v>34</v>
      </c>
    </row>
    <row r="73" spans="1:21" ht="12" customHeight="1" x14ac:dyDescent="0.3">
      <c r="A73">
        <v>2021</v>
      </c>
      <c r="B73">
        <v>3</v>
      </c>
      <c r="C73">
        <v>30194</v>
      </c>
      <c r="D73">
        <v>32467</v>
      </c>
      <c r="E73" t="s">
        <v>21</v>
      </c>
      <c r="F73" t="s">
        <v>22</v>
      </c>
      <c r="G73">
        <v>11298</v>
      </c>
      <c r="H73">
        <v>13303</v>
      </c>
      <c r="I73" t="s">
        <v>27</v>
      </c>
      <c r="J73" t="s">
        <v>26</v>
      </c>
      <c r="K73">
        <v>1121</v>
      </c>
      <c r="L73">
        <v>515</v>
      </c>
      <c r="M73">
        <v>235.83</v>
      </c>
      <c r="N73" t="s">
        <v>28</v>
      </c>
      <c r="O73">
        <v>0.86</v>
      </c>
      <c r="P73">
        <v>240.81</v>
      </c>
      <c r="Q73" t="s">
        <v>31</v>
      </c>
      <c r="R73">
        <v>0.06</v>
      </c>
      <c r="S73">
        <v>164.32</v>
      </c>
      <c r="T73" s="1" t="s">
        <v>33</v>
      </c>
      <c r="U73" s="1" t="s">
        <v>34</v>
      </c>
    </row>
    <row r="74" spans="1:21" ht="12" customHeight="1" x14ac:dyDescent="0.3">
      <c r="A74">
        <v>2021</v>
      </c>
      <c r="B74">
        <v>3</v>
      </c>
      <c r="C74">
        <v>30194</v>
      </c>
      <c r="D74">
        <v>32467</v>
      </c>
      <c r="E74" t="s">
        <v>21</v>
      </c>
      <c r="F74" t="s">
        <v>22</v>
      </c>
      <c r="G74">
        <v>11298</v>
      </c>
      <c r="H74">
        <v>13303</v>
      </c>
      <c r="I74" t="s">
        <v>27</v>
      </c>
      <c r="J74" t="s">
        <v>26</v>
      </c>
      <c r="K74">
        <v>1121</v>
      </c>
      <c r="L74">
        <v>471</v>
      </c>
      <c r="M74">
        <v>238.59</v>
      </c>
      <c r="N74" t="s">
        <v>28</v>
      </c>
      <c r="O74">
        <v>0.86</v>
      </c>
      <c r="P74">
        <v>243.73</v>
      </c>
      <c r="Q74" t="s">
        <v>35</v>
      </c>
      <c r="R74">
        <v>0.02</v>
      </c>
      <c r="S74">
        <v>175.71</v>
      </c>
      <c r="T74" s="1" t="s">
        <v>33</v>
      </c>
      <c r="U74" s="1" t="s">
        <v>34</v>
      </c>
    </row>
    <row r="75" spans="1:21" ht="12" customHeight="1" x14ac:dyDescent="0.3">
      <c r="A75">
        <v>2021</v>
      </c>
      <c r="B75">
        <v>3</v>
      </c>
      <c r="C75">
        <v>30194</v>
      </c>
      <c r="D75">
        <v>32467</v>
      </c>
      <c r="E75" t="s">
        <v>21</v>
      </c>
      <c r="F75" t="s">
        <v>22</v>
      </c>
      <c r="G75">
        <v>11298</v>
      </c>
      <c r="H75">
        <v>11697</v>
      </c>
      <c r="I75" t="s">
        <v>27</v>
      </c>
      <c r="J75" t="s">
        <v>24</v>
      </c>
      <c r="K75">
        <v>1121</v>
      </c>
      <c r="L75">
        <v>691</v>
      </c>
      <c r="M75">
        <v>170.75</v>
      </c>
      <c r="N75" t="s">
        <v>28</v>
      </c>
      <c r="O75">
        <v>0.88</v>
      </c>
      <c r="P75">
        <v>170.7</v>
      </c>
      <c r="Q75" t="s">
        <v>35</v>
      </c>
      <c r="R75">
        <v>0.03</v>
      </c>
      <c r="S75">
        <v>161.19</v>
      </c>
      <c r="T75" s="1" t="s">
        <v>33</v>
      </c>
      <c r="U75" s="1" t="s">
        <v>34</v>
      </c>
    </row>
    <row r="76" spans="1:21" ht="12" customHeight="1" x14ac:dyDescent="0.3">
      <c r="A76">
        <v>2021</v>
      </c>
      <c r="B76">
        <v>1</v>
      </c>
      <c r="C76">
        <v>30194</v>
      </c>
      <c r="D76">
        <v>32467</v>
      </c>
      <c r="E76" t="s">
        <v>21</v>
      </c>
      <c r="F76" t="s">
        <v>22</v>
      </c>
      <c r="G76">
        <v>11259</v>
      </c>
      <c r="H76">
        <v>11697</v>
      </c>
      <c r="I76" t="s">
        <v>23</v>
      </c>
      <c r="J76" t="s">
        <v>24</v>
      </c>
      <c r="K76">
        <v>1121</v>
      </c>
      <c r="L76">
        <v>6</v>
      </c>
      <c r="M76">
        <v>215.56</v>
      </c>
      <c r="N76" t="s">
        <v>25</v>
      </c>
      <c r="O76">
        <v>0.52</v>
      </c>
      <c r="P76">
        <v>269.54000000000002</v>
      </c>
      <c r="Q76" t="s">
        <v>32</v>
      </c>
      <c r="R76">
        <v>0.45</v>
      </c>
      <c r="S76">
        <v>153.80000000000001</v>
      </c>
      <c r="T76" s="1" t="s">
        <v>33</v>
      </c>
      <c r="U76" s="1" t="s">
        <v>34</v>
      </c>
    </row>
    <row r="77" spans="1:21" ht="12" customHeight="1" x14ac:dyDescent="0.3">
      <c r="A77">
        <v>2021</v>
      </c>
      <c r="B77">
        <v>3</v>
      </c>
      <c r="C77">
        <v>30194</v>
      </c>
      <c r="D77">
        <v>32467</v>
      </c>
      <c r="E77" t="s">
        <v>21</v>
      </c>
      <c r="F77" t="s">
        <v>22</v>
      </c>
      <c r="G77">
        <v>11259</v>
      </c>
      <c r="H77">
        <v>13303</v>
      </c>
      <c r="I77" t="s">
        <v>23</v>
      </c>
      <c r="J77" t="s">
        <v>26</v>
      </c>
      <c r="K77">
        <v>1121</v>
      </c>
      <c r="L77">
        <v>8</v>
      </c>
      <c r="M77">
        <v>219.1</v>
      </c>
      <c r="N77" t="s">
        <v>32</v>
      </c>
      <c r="O77">
        <v>0.98</v>
      </c>
      <c r="P77">
        <v>219</v>
      </c>
      <c r="Q77" t="s">
        <v>32</v>
      </c>
      <c r="R77">
        <v>0.98</v>
      </c>
      <c r="S77">
        <v>219</v>
      </c>
      <c r="T77" s="1" t="s">
        <v>33</v>
      </c>
      <c r="U77" s="1" t="s">
        <v>34</v>
      </c>
    </row>
    <row r="78" spans="1:21" ht="12" customHeight="1" x14ac:dyDescent="0.3">
      <c r="A78">
        <v>2021</v>
      </c>
      <c r="B78">
        <v>4</v>
      </c>
      <c r="C78">
        <v>30194</v>
      </c>
      <c r="D78">
        <v>32467</v>
      </c>
      <c r="E78" t="s">
        <v>21</v>
      </c>
      <c r="F78" t="s">
        <v>22</v>
      </c>
      <c r="G78">
        <v>11259</v>
      </c>
      <c r="H78">
        <v>11697</v>
      </c>
      <c r="I78" t="s">
        <v>23</v>
      </c>
      <c r="J78" t="s">
        <v>24</v>
      </c>
      <c r="K78">
        <v>1121</v>
      </c>
      <c r="L78">
        <v>8</v>
      </c>
      <c r="M78">
        <v>264.20999999999998</v>
      </c>
      <c r="N78" t="s">
        <v>25</v>
      </c>
      <c r="O78">
        <v>0.44</v>
      </c>
      <c r="P78">
        <v>298.85000000000002</v>
      </c>
      <c r="Q78" t="s">
        <v>31</v>
      </c>
      <c r="R78">
        <v>0.14000000000000001</v>
      </c>
      <c r="S78">
        <v>202.45</v>
      </c>
      <c r="T78" s="1" t="s">
        <v>33</v>
      </c>
      <c r="U78" s="1" t="s">
        <v>34</v>
      </c>
    </row>
    <row r="79" spans="1:21" ht="12" customHeight="1" x14ac:dyDescent="0.3">
      <c r="A79">
        <v>2021</v>
      </c>
      <c r="B79">
        <v>3</v>
      </c>
      <c r="C79">
        <v>30194</v>
      </c>
      <c r="D79">
        <v>32467</v>
      </c>
      <c r="E79" t="s">
        <v>21</v>
      </c>
      <c r="F79" t="s">
        <v>22</v>
      </c>
      <c r="G79">
        <v>11298</v>
      </c>
      <c r="H79">
        <v>11697</v>
      </c>
      <c r="I79" t="s">
        <v>27</v>
      </c>
      <c r="J79" t="s">
        <v>24</v>
      </c>
      <c r="K79">
        <v>1121</v>
      </c>
      <c r="L79">
        <v>328</v>
      </c>
      <c r="M79">
        <v>219.22</v>
      </c>
      <c r="N79" t="s">
        <v>28</v>
      </c>
      <c r="O79">
        <v>0.55000000000000004</v>
      </c>
      <c r="P79">
        <v>214.92</v>
      </c>
      <c r="Q79" t="s">
        <v>28</v>
      </c>
      <c r="R79">
        <v>0.55000000000000004</v>
      </c>
      <c r="S79">
        <v>214.92</v>
      </c>
      <c r="T79" s="1" t="s">
        <v>33</v>
      </c>
      <c r="U79" s="1" t="s">
        <v>34</v>
      </c>
    </row>
    <row r="80" spans="1:21" ht="12" customHeight="1" x14ac:dyDescent="0.3">
      <c r="A80">
        <v>2021</v>
      </c>
      <c r="B80">
        <v>2</v>
      </c>
      <c r="C80">
        <v>30194</v>
      </c>
      <c r="D80">
        <v>32467</v>
      </c>
      <c r="E80" t="s">
        <v>21</v>
      </c>
      <c r="F80" t="s">
        <v>22</v>
      </c>
      <c r="G80">
        <v>11298</v>
      </c>
      <c r="H80">
        <v>13303</v>
      </c>
      <c r="I80" t="s">
        <v>27</v>
      </c>
      <c r="J80" t="s">
        <v>26</v>
      </c>
      <c r="K80">
        <v>1121</v>
      </c>
      <c r="L80">
        <v>662</v>
      </c>
      <c r="M80">
        <v>203.74</v>
      </c>
      <c r="N80" t="s">
        <v>28</v>
      </c>
      <c r="O80">
        <v>0.92</v>
      </c>
      <c r="P80">
        <v>203.61</v>
      </c>
      <c r="Q80" t="s">
        <v>32</v>
      </c>
      <c r="R80">
        <v>0.01</v>
      </c>
      <c r="S80">
        <v>185.31</v>
      </c>
      <c r="T80" s="1" t="s">
        <v>33</v>
      </c>
      <c r="U80" s="1" t="s">
        <v>34</v>
      </c>
    </row>
    <row r="81" spans="1:21" ht="12" customHeight="1" x14ac:dyDescent="0.3">
      <c r="A81">
        <v>2021</v>
      </c>
      <c r="B81">
        <v>2</v>
      </c>
      <c r="C81">
        <v>30194</v>
      </c>
      <c r="D81">
        <v>32467</v>
      </c>
      <c r="E81" t="s">
        <v>21</v>
      </c>
      <c r="F81" t="s">
        <v>22</v>
      </c>
      <c r="G81">
        <v>11298</v>
      </c>
      <c r="H81">
        <v>13303</v>
      </c>
      <c r="I81" t="s">
        <v>27</v>
      </c>
      <c r="J81" t="s">
        <v>26</v>
      </c>
      <c r="K81">
        <v>1121</v>
      </c>
      <c r="L81">
        <v>500</v>
      </c>
      <c r="M81">
        <v>242.98</v>
      </c>
      <c r="N81" t="s">
        <v>28</v>
      </c>
      <c r="O81">
        <v>0.79</v>
      </c>
      <c r="P81">
        <v>255.46</v>
      </c>
      <c r="Q81" t="s">
        <v>35</v>
      </c>
      <c r="R81">
        <v>0.03</v>
      </c>
      <c r="S81">
        <v>148.28</v>
      </c>
      <c r="T81" s="1" t="s">
        <v>33</v>
      </c>
      <c r="U81" s="1" t="s">
        <v>34</v>
      </c>
    </row>
    <row r="82" spans="1:21" ht="12" customHeight="1" x14ac:dyDescent="0.3">
      <c r="A82">
        <v>2021</v>
      </c>
      <c r="B82">
        <v>2</v>
      </c>
      <c r="C82">
        <v>30194</v>
      </c>
      <c r="D82">
        <v>32467</v>
      </c>
      <c r="E82" t="s">
        <v>21</v>
      </c>
      <c r="F82" t="s">
        <v>22</v>
      </c>
      <c r="G82">
        <v>11259</v>
      </c>
      <c r="H82">
        <v>13303</v>
      </c>
      <c r="I82" t="s">
        <v>23</v>
      </c>
      <c r="J82" t="s">
        <v>26</v>
      </c>
      <c r="K82">
        <v>1121</v>
      </c>
      <c r="L82">
        <v>2</v>
      </c>
      <c r="M82">
        <v>190.46</v>
      </c>
      <c r="N82" t="s">
        <v>32</v>
      </c>
      <c r="O82">
        <v>0.95</v>
      </c>
      <c r="P82">
        <v>192.34</v>
      </c>
      <c r="Q82" t="s">
        <v>32</v>
      </c>
      <c r="R82">
        <v>0.95</v>
      </c>
      <c r="S82">
        <v>192.34</v>
      </c>
      <c r="T82" s="1" t="s">
        <v>33</v>
      </c>
      <c r="U82" s="1" t="s">
        <v>34</v>
      </c>
    </row>
    <row r="83" spans="1:21" ht="12" customHeight="1" x14ac:dyDescent="0.3">
      <c r="A83">
        <v>2021</v>
      </c>
      <c r="B83">
        <v>1</v>
      </c>
      <c r="C83">
        <v>30194</v>
      </c>
      <c r="D83">
        <v>32467</v>
      </c>
      <c r="E83" t="s">
        <v>21</v>
      </c>
      <c r="F83" t="s">
        <v>22</v>
      </c>
      <c r="G83">
        <v>11259</v>
      </c>
      <c r="H83">
        <v>11697</v>
      </c>
      <c r="I83" t="s">
        <v>23</v>
      </c>
      <c r="J83" t="s">
        <v>24</v>
      </c>
      <c r="K83">
        <v>1121</v>
      </c>
      <c r="L83">
        <v>95</v>
      </c>
      <c r="M83">
        <v>199.2</v>
      </c>
      <c r="N83" t="s">
        <v>25</v>
      </c>
      <c r="O83">
        <v>0.92</v>
      </c>
      <c r="P83">
        <v>202.21</v>
      </c>
      <c r="Q83" t="s">
        <v>36</v>
      </c>
      <c r="R83">
        <v>0.01</v>
      </c>
      <c r="S83">
        <v>145.32</v>
      </c>
      <c r="T83" s="1" t="s">
        <v>33</v>
      </c>
      <c r="U83" s="1" t="s">
        <v>34</v>
      </c>
    </row>
    <row r="84" spans="1:21" ht="12" customHeight="1" x14ac:dyDescent="0.3">
      <c r="A84">
        <v>2021</v>
      </c>
      <c r="B84">
        <v>2</v>
      </c>
      <c r="C84">
        <v>30194</v>
      </c>
      <c r="D84">
        <v>32467</v>
      </c>
      <c r="E84" t="s">
        <v>21</v>
      </c>
      <c r="F84" t="s">
        <v>22</v>
      </c>
      <c r="G84">
        <v>11298</v>
      </c>
      <c r="H84">
        <v>13303</v>
      </c>
      <c r="I84" t="s">
        <v>27</v>
      </c>
      <c r="J84" t="s">
        <v>26</v>
      </c>
      <c r="K84">
        <v>1121</v>
      </c>
      <c r="L84">
        <v>575</v>
      </c>
      <c r="M84">
        <v>282.61</v>
      </c>
      <c r="N84" t="s">
        <v>28</v>
      </c>
      <c r="O84">
        <v>0.84</v>
      </c>
      <c r="P84">
        <v>296.39</v>
      </c>
      <c r="Q84" t="s">
        <v>31</v>
      </c>
      <c r="R84">
        <v>0.06</v>
      </c>
      <c r="S84">
        <v>157.84</v>
      </c>
      <c r="T84" s="1" t="s">
        <v>33</v>
      </c>
      <c r="U84" s="1" t="s">
        <v>34</v>
      </c>
    </row>
    <row r="85" spans="1:21" ht="12" customHeight="1" x14ac:dyDescent="0.3">
      <c r="A85">
        <v>2021</v>
      </c>
      <c r="B85">
        <v>3</v>
      </c>
      <c r="C85">
        <v>30194</v>
      </c>
      <c r="D85">
        <v>32467</v>
      </c>
      <c r="E85" t="s">
        <v>21</v>
      </c>
      <c r="F85" t="s">
        <v>22</v>
      </c>
      <c r="G85">
        <v>11259</v>
      </c>
      <c r="H85">
        <v>13303</v>
      </c>
      <c r="I85" t="s">
        <v>23</v>
      </c>
      <c r="J85" t="s">
        <v>26</v>
      </c>
      <c r="K85">
        <v>1121</v>
      </c>
      <c r="L85">
        <v>5</v>
      </c>
      <c r="M85">
        <v>157.52000000000001</v>
      </c>
      <c r="N85" t="s">
        <v>31</v>
      </c>
      <c r="O85">
        <v>0.53</v>
      </c>
      <c r="P85">
        <v>150.76</v>
      </c>
      <c r="Q85" t="s">
        <v>31</v>
      </c>
      <c r="R85">
        <v>0.53</v>
      </c>
      <c r="S85">
        <v>150.76</v>
      </c>
      <c r="T85" s="1" t="s">
        <v>33</v>
      </c>
      <c r="U85" s="1" t="s">
        <v>34</v>
      </c>
    </row>
    <row r="86" spans="1:21" ht="12" customHeight="1" x14ac:dyDescent="0.3">
      <c r="A86">
        <v>2021</v>
      </c>
      <c r="B86">
        <v>1</v>
      </c>
      <c r="C86">
        <v>30194</v>
      </c>
      <c r="D86">
        <v>32467</v>
      </c>
      <c r="E86" t="s">
        <v>21</v>
      </c>
      <c r="F86" t="s">
        <v>22</v>
      </c>
      <c r="G86">
        <v>11298</v>
      </c>
      <c r="H86">
        <v>13303</v>
      </c>
      <c r="I86" t="s">
        <v>27</v>
      </c>
      <c r="J86" t="s">
        <v>26</v>
      </c>
      <c r="K86">
        <v>1121</v>
      </c>
      <c r="L86">
        <v>417</v>
      </c>
      <c r="M86">
        <v>246.35</v>
      </c>
      <c r="N86" t="s">
        <v>28</v>
      </c>
      <c r="O86">
        <v>0.65</v>
      </c>
      <c r="P86">
        <v>255.23</v>
      </c>
      <c r="Q86" t="s">
        <v>31</v>
      </c>
      <c r="R86">
        <v>0.23</v>
      </c>
      <c r="S86">
        <v>222.07</v>
      </c>
      <c r="T86" s="1" t="s">
        <v>33</v>
      </c>
      <c r="U86" s="1" t="s">
        <v>34</v>
      </c>
    </row>
    <row r="87" spans="1:21" ht="12" customHeight="1" x14ac:dyDescent="0.3">
      <c r="A87">
        <v>2021</v>
      </c>
      <c r="B87">
        <v>4</v>
      </c>
      <c r="C87">
        <v>30194</v>
      </c>
      <c r="D87">
        <v>32467</v>
      </c>
      <c r="E87" t="s">
        <v>21</v>
      </c>
      <c r="F87" t="s">
        <v>22</v>
      </c>
      <c r="G87">
        <v>11259</v>
      </c>
      <c r="H87">
        <v>11697</v>
      </c>
      <c r="I87" t="s">
        <v>23</v>
      </c>
      <c r="J87" t="s">
        <v>24</v>
      </c>
      <c r="K87">
        <v>1121</v>
      </c>
      <c r="L87">
        <v>7</v>
      </c>
      <c r="M87">
        <v>224.83</v>
      </c>
      <c r="N87" t="s">
        <v>25</v>
      </c>
      <c r="O87">
        <v>0.53</v>
      </c>
      <c r="P87">
        <v>263.14999999999998</v>
      </c>
      <c r="Q87" t="s">
        <v>32</v>
      </c>
      <c r="R87">
        <v>0.41</v>
      </c>
      <c r="S87">
        <v>169.66</v>
      </c>
      <c r="T87" s="1" t="s">
        <v>33</v>
      </c>
      <c r="U87" s="1" t="s">
        <v>34</v>
      </c>
    </row>
    <row r="88" spans="1:21" ht="12" customHeight="1" x14ac:dyDescent="0.3">
      <c r="A88">
        <v>2021</v>
      </c>
      <c r="B88">
        <v>3</v>
      </c>
      <c r="C88">
        <v>30194</v>
      </c>
      <c r="D88">
        <v>32467</v>
      </c>
      <c r="E88" t="s">
        <v>21</v>
      </c>
      <c r="F88" t="s">
        <v>22</v>
      </c>
      <c r="G88">
        <v>11259</v>
      </c>
      <c r="H88">
        <v>11697</v>
      </c>
      <c r="I88" t="s">
        <v>23</v>
      </c>
      <c r="J88" t="s">
        <v>24</v>
      </c>
      <c r="K88">
        <v>1121</v>
      </c>
      <c r="L88">
        <v>9</v>
      </c>
      <c r="M88">
        <v>247.39</v>
      </c>
      <c r="N88" t="s">
        <v>25</v>
      </c>
      <c r="O88">
        <v>0.5</v>
      </c>
      <c r="P88">
        <v>281.49</v>
      </c>
      <c r="Q88" t="s">
        <v>32</v>
      </c>
      <c r="R88">
        <v>0.48</v>
      </c>
      <c r="S88">
        <v>213.33</v>
      </c>
      <c r="T88" s="1" t="s">
        <v>33</v>
      </c>
      <c r="U88" s="1" t="s">
        <v>34</v>
      </c>
    </row>
    <row r="89" spans="1:21" ht="12" customHeight="1" x14ac:dyDescent="0.3">
      <c r="A89">
        <v>2021</v>
      </c>
      <c r="B89">
        <v>2</v>
      </c>
      <c r="C89">
        <v>30194</v>
      </c>
      <c r="D89">
        <v>32467</v>
      </c>
      <c r="E89" t="s">
        <v>21</v>
      </c>
      <c r="F89" t="s">
        <v>22</v>
      </c>
      <c r="G89">
        <v>11298</v>
      </c>
      <c r="H89">
        <v>13303</v>
      </c>
      <c r="I89" t="s">
        <v>27</v>
      </c>
      <c r="J89" t="s">
        <v>26</v>
      </c>
      <c r="K89">
        <v>1121</v>
      </c>
      <c r="L89">
        <v>704</v>
      </c>
      <c r="M89">
        <v>240.18</v>
      </c>
      <c r="N89" t="s">
        <v>28</v>
      </c>
      <c r="O89">
        <v>0.9</v>
      </c>
      <c r="P89">
        <v>242.13</v>
      </c>
      <c r="Q89" t="s">
        <v>31</v>
      </c>
      <c r="R89">
        <v>0.03</v>
      </c>
      <c r="S89">
        <v>175.23</v>
      </c>
      <c r="T89" s="1" t="s">
        <v>33</v>
      </c>
      <c r="U89" s="1" t="s">
        <v>34</v>
      </c>
    </row>
    <row r="90" spans="1:21" ht="12" customHeight="1" x14ac:dyDescent="0.3">
      <c r="A90">
        <v>2021</v>
      </c>
      <c r="B90">
        <v>2</v>
      </c>
      <c r="C90">
        <v>30194</v>
      </c>
      <c r="D90">
        <v>32467</v>
      </c>
      <c r="E90" t="s">
        <v>21</v>
      </c>
      <c r="F90" t="s">
        <v>22</v>
      </c>
      <c r="G90">
        <v>11298</v>
      </c>
      <c r="H90">
        <v>11697</v>
      </c>
      <c r="I90" t="s">
        <v>27</v>
      </c>
      <c r="J90" t="s">
        <v>24</v>
      </c>
      <c r="K90">
        <v>1121</v>
      </c>
      <c r="L90">
        <v>577</v>
      </c>
      <c r="M90">
        <v>169.8</v>
      </c>
      <c r="N90" t="s">
        <v>28</v>
      </c>
      <c r="O90">
        <v>0.61</v>
      </c>
      <c r="P90">
        <v>175.86</v>
      </c>
      <c r="Q90" t="s">
        <v>31</v>
      </c>
      <c r="R90">
        <v>0.28999999999999998</v>
      </c>
      <c r="S90">
        <v>156.86000000000001</v>
      </c>
      <c r="T90" s="1" t="s">
        <v>33</v>
      </c>
      <c r="U90" s="1" t="s">
        <v>34</v>
      </c>
    </row>
    <row r="91" spans="1:21" ht="12" customHeight="1" x14ac:dyDescent="0.3">
      <c r="A91">
        <v>2021</v>
      </c>
      <c r="B91">
        <v>4</v>
      </c>
      <c r="C91">
        <v>30194</v>
      </c>
      <c r="D91">
        <v>32467</v>
      </c>
      <c r="E91" t="s">
        <v>21</v>
      </c>
      <c r="F91" t="s">
        <v>22</v>
      </c>
      <c r="G91">
        <v>11298</v>
      </c>
      <c r="H91">
        <v>11697</v>
      </c>
      <c r="I91" t="s">
        <v>27</v>
      </c>
      <c r="J91" t="s">
        <v>24</v>
      </c>
      <c r="K91">
        <v>1121</v>
      </c>
      <c r="L91">
        <v>455</v>
      </c>
      <c r="M91">
        <v>223.61</v>
      </c>
      <c r="N91" t="s">
        <v>28</v>
      </c>
      <c r="O91">
        <v>0.52</v>
      </c>
      <c r="P91">
        <v>239.47</v>
      </c>
      <c r="Q91" t="s">
        <v>31</v>
      </c>
      <c r="R91">
        <v>0.26</v>
      </c>
      <c r="S91">
        <v>214.68</v>
      </c>
      <c r="T91" s="1" t="s">
        <v>33</v>
      </c>
      <c r="U91" s="1" t="s">
        <v>34</v>
      </c>
    </row>
    <row r="92" spans="1:21" ht="12" customHeight="1" x14ac:dyDescent="0.3">
      <c r="A92">
        <v>2021</v>
      </c>
      <c r="B92">
        <v>2</v>
      </c>
      <c r="C92">
        <v>30194</v>
      </c>
      <c r="D92">
        <v>32467</v>
      </c>
      <c r="E92" t="s">
        <v>21</v>
      </c>
      <c r="F92" t="s">
        <v>22</v>
      </c>
      <c r="G92">
        <v>11259</v>
      </c>
      <c r="H92">
        <v>13303</v>
      </c>
      <c r="I92" t="s">
        <v>23</v>
      </c>
      <c r="J92" t="s">
        <v>26</v>
      </c>
      <c r="K92">
        <v>1121</v>
      </c>
      <c r="L92">
        <v>13</v>
      </c>
      <c r="M92">
        <v>161.94999999999999</v>
      </c>
      <c r="N92" t="s">
        <v>31</v>
      </c>
      <c r="O92">
        <v>0.62</v>
      </c>
      <c r="P92">
        <v>147.46</v>
      </c>
      <c r="Q92" t="s">
        <v>31</v>
      </c>
      <c r="R92">
        <v>0.62</v>
      </c>
      <c r="S92">
        <v>147.46</v>
      </c>
      <c r="T92" s="1" t="s">
        <v>33</v>
      </c>
      <c r="U92" s="1" t="s">
        <v>34</v>
      </c>
    </row>
    <row r="93" spans="1:21" ht="12" customHeight="1" x14ac:dyDescent="0.3">
      <c r="A93">
        <v>2021</v>
      </c>
      <c r="B93">
        <v>4</v>
      </c>
      <c r="C93">
        <v>30194</v>
      </c>
      <c r="D93">
        <v>32467</v>
      </c>
      <c r="E93" t="s">
        <v>21</v>
      </c>
      <c r="F93" t="s">
        <v>22</v>
      </c>
      <c r="G93">
        <v>11298</v>
      </c>
      <c r="H93">
        <v>13303</v>
      </c>
      <c r="I93" t="s">
        <v>27</v>
      </c>
      <c r="J93" t="s">
        <v>26</v>
      </c>
      <c r="K93">
        <v>1121</v>
      </c>
      <c r="L93">
        <v>578</v>
      </c>
      <c r="M93">
        <v>211.96</v>
      </c>
      <c r="N93" t="s">
        <v>28</v>
      </c>
      <c r="O93">
        <v>0.91</v>
      </c>
      <c r="P93">
        <v>212.89</v>
      </c>
      <c r="Q93" t="s">
        <v>35</v>
      </c>
      <c r="R93">
        <v>0.01</v>
      </c>
      <c r="S93">
        <v>169.7</v>
      </c>
      <c r="T93" s="1" t="s">
        <v>33</v>
      </c>
      <c r="U93" s="1" t="s">
        <v>34</v>
      </c>
    </row>
    <row r="94" spans="1:21" ht="12" customHeight="1" x14ac:dyDescent="0.3">
      <c r="A94">
        <v>2021</v>
      </c>
      <c r="B94">
        <v>1</v>
      </c>
      <c r="C94">
        <v>30194</v>
      </c>
      <c r="D94">
        <v>32467</v>
      </c>
      <c r="E94" t="s">
        <v>21</v>
      </c>
      <c r="F94" t="s">
        <v>22</v>
      </c>
      <c r="G94">
        <v>11259</v>
      </c>
      <c r="H94">
        <v>13303</v>
      </c>
      <c r="I94" t="s">
        <v>23</v>
      </c>
      <c r="J94" t="s">
        <v>26</v>
      </c>
      <c r="K94">
        <v>1121</v>
      </c>
      <c r="L94">
        <v>8</v>
      </c>
      <c r="M94">
        <v>174.46</v>
      </c>
      <c r="N94" t="s">
        <v>32</v>
      </c>
      <c r="O94">
        <v>0.46</v>
      </c>
      <c r="P94">
        <v>199.91</v>
      </c>
      <c r="Q94" t="s">
        <v>31</v>
      </c>
      <c r="R94">
        <v>0.31</v>
      </c>
      <c r="S94">
        <v>142.63</v>
      </c>
      <c r="T94" s="1" t="s">
        <v>33</v>
      </c>
      <c r="U94" s="1" t="s">
        <v>34</v>
      </c>
    </row>
    <row r="95" spans="1:21" ht="12" customHeight="1" x14ac:dyDescent="0.3">
      <c r="A95">
        <v>2021</v>
      </c>
      <c r="B95">
        <v>1</v>
      </c>
      <c r="C95">
        <v>30194</v>
      </c>
      <c r="D95">
        <v>32467</v>
      </c>
      <c r="E95" t="s">
        <v>21</v>
      </c>
      <c r="F95" t="s">
        <v>22</v>
      </c>
      <c r="G95">
        <v>11259</v>
      </c>
      <c r="H95">
        <v>11697</v>
      </c>
      <c r="I95" t="s">
        <v>23</v>
      </c>
      <c r="J95" t="s">
        <v>24</v>
      </c>
      <c r="K95">
        <v>1121</v>
      </c>
      <c r="L95">
        <v>133</v>
      </c>
      <c r="M95">
        <v>192.89</v>
      </c>
      <c r="N95" t="s">
        <v>25</v>
      </c>
      <c r="O95">
        <v>0.94</v>
      </c>
      <c r="P95">
        <v>190.99</v>
      </c>
      <c r="Q95" t="s">
        <v>25</v>
      </c>
      <c r="R95">
        <v>0.94</v>
      </c>
      <c r="S95">
        <v>190.99</v>
      </c>
      <c r="T95" s="1" t="s">
        <v>33</v>
      </c>
      <c r="U95" s="1" t="s">
        <v>34</v>
      </c>
    </row>
    <row r="96" spans="1:21" ht="12" customHeight="1" x14ac:dyDescent="0.3">
      <c r="A96">
        <v>2021</v>
      </c>
      <c r="B96">
        <v>3</v>
      </c>
      <c r="C96">
        <v>30194</v>
      </c>
      <c r="D96">
        <v>32467</v>
      </c>
      <c r="E96" t="s">
        <v>21</v>
      </c>
      <c r="F96" t="s">
        <v>22</v>
      </c>
      <c r="G96">
        <v>11298</v>
      </c>
      <c r="H96">
        <v>13303</v>
      </c>
      <c r="I96" t="s">
        <v>27</v>
      </c>
      <c r="J96" t="s">
        <v>26</v>
      </c>
      <c r="K96">
        <v>1121</v>
      </c>
      <c r="L96">
        <v>513</v>
      </c>
      <c r="M96">
        <v>185.71</v>
      </c>
      <c r="N96" t="s">
        <v>28</v>
      </c>
      <c r="O96">
        <v>0.92</v>
      </c>
      <c r="P96">
        <v>186.56</v>
      </c>
      <c r="Q96" t="s">
        <v>31</v>
      </c>
      <c r="R96">
        <v>0.01</v>
      </c>
      <c r="S96">
        <v>156.04</v>
      </c>
      <c r="T96" s="1" t="s">
        <v>33</v>
      </c>
      <c r="U96" s="1" t="s">
        <v>34</v>
      </c>
    </row>
    <row r="97" spans="1:21" ht="12" customHeight="1" x14ac:dyDescent="0.3">
      <c r="A97">
        <v>2021</v>
      </c>
      <c r="B97">
        <v>3</v>
      </c>
      <c r="C97">
        <v>30194</v>
      </c>
      <c r="D97">
        <v>32467</v>
      </c>
      <c r="E97" t="s">
        <v>21</v>
      </c>
      <c r="F97" t="s">
        <v>22</v>
      </c>
      <c r="G97">
        <v>11259</v>
      </c>
      <c r="H97">
        <v>11697</v>
      </c>
      <c r="I97" t="s">
        <v>23</v>
      </c>
      <c r="J97" t="s">
        <v>24</v>
      </c>
      <c r="K97">
        <v>1121</v>
      </c>
      <c r="L97">
        <v>122</v>
      </c>
      <c r="M97">
        <v>179.27</v>
      </c>
      <c r="N97" t="s">
        <v>25</v>
      </c>
      <c r="O97">
        <v>0.95</v>
      </c>
      <c r="P97">
        <v>177.68</v>
      </c>
      <c r="Q97" t="s">
        <v>25</v>
      </c>
      <c r="R97">
        <v>0.95</v>
      </c>
      <c r="S97">
        <v>177.68</v>
      </c>
      <c r="T97" s="1" t="s">
        <v>33</v>
      </c>
      <c r="U97" s="1" t="s">
        <v>34</v>
      </c>
    </row>
    <row r="98" spans="1:21" ht="12" customHeight="1" x14ac:dyDescent="0.3">
      <c r="A98">
        <v>2021</v>
      </c>
      <c r="B98">
        <v>3</v>
      </c>
      <c r="C98">
        <v>30194</v>
      </c>
      <c r="D98">
        <v>32467</v>
      </c>
      <c r="E98" t="s">
        <v>21</v>
      </c>
      <c r="F98" t="s">
        <v>22</v>
      </c>
      <c r="G98">
        <v>11259</v>
      </c>
      <c r="H98">
        <v>13303</v>
      </c>
      <c r="I98" t="s">
        <v>23</v>
      </c>
      <c r="J98" t="s">
        <v>26</v>
      </c>
      <c r="K98">
        <v>1121</v>
      </c>
      <c r="L98">
        <v>2</v>
      </c>
      <c r="M98">
        <v>212.52</v>
      </c>
      <c r="N98" t="s">
        <v>32</v>
      </c>
      <c r="O98">
        <v>1</v>
      </c>
      <c r="P98">
        <v>212.52</v>
      </c>
      <c r="Q98" t="s">
        <v>32</v>
      </c>
      <c r="R98">
        <v>1</v>
      </c>
      <c r="S98">
        <v>212.52</v>
      </c>
      <c r="T98" s="1" t="s">
        <v>33</v>
      </c>
      <c r="U98" s="1" t="s">
        <v>34</v>
      </c>
    </row>
    <row r="99" spans="1:21" ht="12" customHeight="1" x14ac:dyDescent="0.3">
      <c r="A99">
        <v>2021</v>
      </c>
      <c r="B99">
        <v>1</v>
      </c>
      <c r="C99">
        <v>30194</v>
      </c>
      <c r="D99">
        <v>32467</v>
      </c>
      <c r="E99" t="s">
        <v>21</v>
      </c>
      <c r="F99" t="s">
        <v>22</v>
      </c>
      <c r="G99">
        <v>11298</v>
      </c>
      <c r="H99">
        <v>11697</v>
      </c>
      <c r="I99" t="s">
        <v>27</v>
      </c>
      <c r="J99" t="s">
        <v>24</v>
      </c>
      <c r="K99">
        <v>1121</v>
      </c>
      <c r="L99">
        <v>423</v>
      </c>
      <c r="M99">
        <v>222.08</v>
      </c>
      <c r="N99" t="s">
        <v>28</v>
      </c>
      <c r="O99">
        <v>0.69</v>
      </c>
      <c r="P99">
        <v>241.42</v>
      </c>
      <c r="Q99" t="s">
        <v>35</v>
      </c>
      <c r="R99">
        <v>0.1</v>
      </c>
      <c r="S99">
        <v>146.54</v>
      </c>
      <c r="T99" s="1" t="s">
        <v>33</v>
      </c>
      <c r="U99" s="1" t="s">
        <v>34</v>
      </c>
    </row>
    <row r="100" spans="1:21" ht="12" customHeight="1" x14ac:dyDescent="0.3">
      <c r="A100">
        <v>2021</v>
      </c>
      <c r="B100">
        <v>3</v>
      </c>
      <c r="C100">
        <v>30194</v>
      </c>
      <c r="D100">
        <v>32467</v>
      </c>
      <c r="E100" t="s">
        <v>21</v>
      </c>
      <c r="F100" t="s">
        <v>22</v>
      </c>
      <c r="G100">
        <v>11298</v>
      </c>
      <c r="H100">
        <v>13303</v>
      </c>
      <c r="I100" t="s">
        <v>27</v>
      </c>
      <c r="J100" t="s">
        <v>26</v>
      </c>
      <c r="K100">
        <v>1121</v>
      </c>
      <c r="L100">
        <v>406</v>
      </c>
      <c r="M100">
        <v>243</v>
      </c>
      <c r="N100" t="s">
        <v>28</v>
      </c>
      <c r="O100">
        <v>0.78</v>
      </c>
      <c r="P100">
        <v>259.38</v>
      </c>
      <c r="Q100" t="s">
        <v>35</v>
      </c>
      <c r="R100">
        <v>0.04</v>
      </c>
      <c r="S100">
        <v>149.69</v>
      </c>
      <c r="T100" s="1" t="s">
        <v>33</v>
      </c>
      <c r="U100" s="1" t="s">
        <v>34</v>
      </c>
    </row>
    <row r="101" spans="1:21" ht="12" customHeight="1" x14ac:dyDescent="0.3">
      <c r="A101">
        <v>2021</v>
      </c>
      <c r="B101">
        <v>1</v>
      </c>
      <c r="C101">
        <v>30194</v>
      </c>
      <c r="D101">
        <v>32467</v>
      </c>
      <c r="E101" t="s">
        <v>21</v>
      </c>
      <c r="F101" t="s">
        <v>22</v>
      </c>
      <c r="G101">
        <v>11259</v>
      </c>
      <c r="H101">
        <v>13303</v>
      </c>
      <c r="I101" t="s">
        <v>23</v>
      </c>
      <c r="J101" t="s">
        <v>26</v>
      </c>
      <c r="K101">
        <v>1121</v>
      </c>
      <c r="L101">
        <v>5</v>
      </c>
      <c r="M101">
        <v>232.74</v>
      </c>
      <c r="N101" t="s">
        <v>32</v>
      </c>
      <c r="O101">
        <v>0.8</v>
      </c>
      <c r="P101">
        <v>214.8</v>
      </c>
      <c r="Q101" t="s">
        <v>28</v>
      </c>
      <c r="R101">
        <v>7.0000000000000007E-2</v>
      </c>
      <c r="S101">
        <v>207.33</v>
      </c>
      <c r="T101" s="1" t="s">
        <v>33</v>
      </c>
      <c r="U101" s="1" t="s">
        <v>34</v>
      </c>
    </row>
    <row r="102" spans="1:21" ht="12" customHeight="1" x14ac:dyDescent="0.3">
      <c r="A102">
        <v>2021</v>
      </c>
      <c r="B102">
        <v>2</v>
      </c>
      <c r="C102">
        <v>30194</v>
      </c>
      <c r="D102">
        <v>32467</v>
      </c>
      <c r="E102" t="s">
        <v>21</v>
      </c>
      <c r="F102" t="s">
        <v>22</v>
      </c>
      <c r="G102">
        <v>11259</v>
      </c>
      <c r="H102">
        <v>13303</v>
      </c>
      <c r="I102" t="s">
        <v>23</v>
      </c>
      <c r="J102" t="s">
        <v>26</v>
      </c>
      <c r="K102">
        <v>1121</v>
      </c>
      <c r="L102">
        <v>11</v>
      </c>
      <c r="M102">
        <v>193.59</v>
      </c>
      <c r="N102" t="s">
        <v>37</v>
      </c>
      <c r="O102">
        <v>0.64</v>
      </c>
      <c r="P102">
        <v>188.08</v>
      </c>
      <c r="Q102" t="s">
        <v>37</v>
      </c>
      <c r="R102">
        <v>0.64</v>
      </c>
      <c r="S102">
        <v>188.08</v>
      </c>
      <c r="T102" s="1" t="s">
        <v>33</v>
      </c>
      <c r="U102" s="1" t="s">
        <v>34</v>
      </c>
    </row>
    <row r="103" spans="1:21" ht="12" customHeight="1" x14ac:dyDescent="0.3">
      <c r="A103">
        <v>2021</v>
      </c>
      <c r="B103">
        <v>1</v>
      </c>
      <c r="C103">
        <v>30194</v>
      </c>
      <c r="D103">
        <v>32467</v>
      </c>
      <c r="E103" t="s">
        <v>21</v>
      </c>
      <c r="F103" t="s">
        <v>22</v>
      </c>
      <c r="G103">
        <v>11259</v>
      </c>
      <c r="H103">
        <v>11697</v>
      </c>
      <c r="I103" t="s">
        <v>23</v>
      </c>
      <c r="J103" t="s">
        <v>24</v>
      </c>
      <c r="K103">
        <v>1121</v>
      </c>
      <c r="L103">
        <v>10</v>
      </c>
      <c r="M103">
        <v>228.09</v>
      </c>
      <c r="N103" t="s">
        <v>32</v>
      </c>
      <c r="O103">
        <v>0.53</v>
      </c>
      <c r="P103">
        <v>185.76</v>
      </c>
      <c r="Q103" t="s">
        <v>32</v>
      </c>
      <c r="R103">
        <v>0.53</v>
      </c>
      <c r="S103">
        <v>185.76</v>
      </c>
      <c r="T103" s="1" t="s">
        <v>33</v>
      </c>
      <c r="U103" s="1" t="s">
        <v>34</v>
      </c>
    </row>
    <row r="104" spans="1:21" ht="12" customHeight="1" x14ac:dyDescent="0.3">
      <c r="A104">
        <v>2021</v>
      </c>
      <c r="B104">
        <v>2</v>
      </c>
      <c r="C104">
        <v>30194</v>
      </c>
      <c r="D104">
        <v>32467</v>
      </c>
      <c r="E104" t="s">
        <v>21</v>
      </c>
      <c r="F104" t="s">
        <v>22</v>
      </c>
      <c r="G104">
        <v>11298</v>
      </c>
      <c r="H104">
        <v>13303</v>
      </c>
      <c r="I104" t="s">
        <v>27</v>
      </c>
      <c r="J104" t="s">
        <v>26</v>
      </c>
      <c r="K104">
        <v>1121</v>
      </c>
      <c r="L104">
        <v>448</v>
      </c>
      <c r="M104">
        <v>267.76</v>
      </c>
      <c r="N104" t="s">
        <v>28</v>
      </c>
      <c r="O104">
        <v>0.86</v>
      </c>
      <c r="P104">
        <v>272.45999999999998</v>
      </c>
      <c r="Q104" t="s">
        <v>36</v>
      </c>
      <c r="R104">
        <v>0.01</v>
      </c>
      <c r="S104">
        <v>142.63</v>
      </c>
      <c r="T104" s="1" t="s">
        <v>33</v>
      </c>
      <c r="U104" s="1" t="s">
        <v>34</v>
      </c>
    </row>
    <row r="105" spans="1:21" ht="12" customHeight="1" x14ac:dyDescent="0.3">
      <c r="A105">
        <v>2021</v>
      </c>
      <c r="B105">
        <v>2</v>
      </c>
      <c r="C105">
        <v>30194</v>
      </c>
      <c r="D105">
        <v>32467</v>
      </c>
      <c r="E105" t="s">
        <v>21</v>
      </c>
      <c r="F105" t="s">
        <v>22</v>
      </c>
      <c r="G105">
        <v>11259</v>
      </c>
      <c r="H105">
        <v>11697</v>
      </c>
      <c r="I105" t="s">
        <v>23</v>
      </c>
      <c r="J105" t="s">
        <v>24</v>
      </c>
      <c r="K105">
        <v>1121</v>
      </c>
      <c r="L105">
        <v>9</v>
      </c>
      <c r="M105">
        <v>189.03</v>
      </c>
      <c r="N105" t="s">
        <v>32</v>
      </c>
      <c r="O105">
        <v>0.85</v>
      </c>
      <c r="P105">
        <v>174.83</v>
      </c>
      <c r="Q105" t="s">
        <v>32</v>
      </c>
      <c r="R105">
        <v>0.85</v>
      </c>
      <c r="S105">
        <v>174.83</v>
      </c>
      <c r="T105" s="1" t="s">
        <v>33</v>
      </c>
      <c r="U105" s="1" t="s">
        <v>34</v>
      </c>
    </row>
    <row r="106" spans="1:21" ht="12" customHeight="1" x14ac:dyDescent="0.3">
      <c r="A106">
        <v>2021</v>
      </c>
      <c r="B106">
        <v>2</v>
      </c>
      <c r="C106">
        <v>30194</v>
      </c>
      <c r="D106">
        <v>32467</v>
      </c>
      <c r="E106" t="s">
        <v>21</v>
      </c>
      <c r="F106" t="s">
        <v>22</v>
      </c>
      <c r="G106">
        <v>11298</v>
      </c>
      <c r="H106">
        <v>11697</v>
      </c>
      <c r="I106" t="s">
        <v>27</v>
      </c>
      <c r="J106" t="s">
        <v>24</v>
      </c>
      <c r="K106">
        <v>1121</v>
      </c>
      <c r="L106">
        <v>875</v>
      </c>
      <c r="M106">
        <v>200.92</v>
      </c>
      <c r="N106" t="s">
        <v>28</v>
      </c>
      <c r="O106">
        <v>0.56000000000000005</v>
      </c>
      <c r="P106">
        <v>232.1</v>
      </c>
      <c r="Q106" t="s">
        <v>29</v>
      </c>
      <c r="R106">
        <v>0.31</v>
      </c>
      <c r="S106">
        <v>137.22</v>
      </c>
      <c r="T106" s="1" t="s">
        <v>33</v>
      </c>
      <c r="U106" s="1" t="s">
        <v>34</v>
      </c>
    </row>
    <row r="107" spans="1:21" ht="12" customHeight="1" x14ac:dyDescent="0.3">
      <c r="A107">
        <v>2021</v>
      </c>
      <c r="B107">
        <v>4</v>
      </c>
      <c r="C107">
        <v>30194</v>
      </c>
      <c r="D107">
        <v>32467</v>
      </c>
      <c r="E107" t="s">
        <v>21</v>
      </c>
      <c r="F107" t="s">
        <v>22</v>
      </c>
      <c r="G107">
        <v>11298</v>
      </c>
      <c r="H107">
        <v>13303</v>
      </c>
      <c r="I107" t="s">
        <v>27</v>
      </c>
      <c r="J107" t="s">
        <v>26</v>
      </c>
      <c r="K107">
        <v>1121</v>
      </c>
      <c r="L107">
        <v>609</v>
      </c>
      <c r="M107">
        <v>222</v>
      </c>
      <c r="N107" t="s">
        <v>28</v>
      </c>
      <c r="O107">
        <v>0.88</v>
      </c>
      <c r="P107">
        <v>226.18</v>
      </c>
      <c r="Q107" t="s">
        <v>32</v>
      </c>
      <c r="R107">
        <v>0.01</v>
      </c>
      <c r="S107">
        <v>142.02000000000001</v>
      </c>
      <c r="T107" s="1" t="s">
        <v>33</v>
      </c>
      <c r="U107" s="1" t="s">
        <v>34</v>
      </c>
    </row>
    <row r="108" spans="1:21" ht="12" customHeight="1" x14ac:dyDescent="0.3">
      <c r="A108">
        <v>2021</v>
      </c>
      <c r="B108">
        <v>3</v>
      </c>
      <c r="C108">
        <v>30194</v>
      </c>
      <c r="D108">
        <v>32467</v>
      </c>
      <c r="E108" t="s">
        <v>21</v>
      </c>
      <c r="F108" t="s">
        <v>22</v>
      </c>
      <c r="G108">
        <v>11298</v>
      </c>
      <c r="H108">
        <v>11697</v>
      </c>
      <c r="I108" t="s">
        <v>27</v>
      </c>
      <c r="J108" t="s">
        <v>24</v>
      </c>
      <c r="K108">
        <v>1121</v>
      </c>
      <c r="L108">
        <v>708</v>
      </c>
      <c r="M108">
        <v>172.68</v>
      </c>
      <c r="N108" t="s">
        <v>28</v>
      </c>
      <c r="O108">
        <v>0.85</v>
      </c>
      <c r="P108">
        <v>174.38</v>
      </c>
      <c r="Q108" t="s">
        <v>35</v>
      </c>
      <c r="R108">
        <v>0.06</v>
      </c>
      <c r="S108">
        <v>133.55000000000001</v>
      </c>
      <c r="T108" s="1" t="s">
        <v>33</v>
      </c>
      <c r="U108" s="1" t="s">
        <v>34</v>
      </c>
    </row>
    <row r="109" spans="1:21" ht="12" customHeight="1" x14ac:dyDescent="0.3">
      <c r="A109">
        <v>2021</v>
      </c>
      <c r="B109">
        <v>1</v>
      </c>
      <c r="C109">
        <v>30194</v>
      </c>
      <c r="D109">
        <v>32467</v>
      </c>
      <c r="E109" t="s">
        <v>21</v>
      </c>
      <c r="F109" t="s">
        <v>22</v>
      </c>
      <c r="G109">
        <v>11298</v>
      </c>
      <c r="H109">
        <v>13303</v>
      </c>
      <c r="I109" t="s">
        <v>27</v>
      </c>
      <c r="J109" t="s">
        <v>26</v>
      </c>
      <c r="K109">
        <v>1121</v>
      </c>
      <c r="L109">
        <v>409</v>
      </c>
      <c r="M109">
        <v>238.93</v>
      </c>
      <c r="N109" t="s">
        <v>28</v>
      </c>
      <c r="O109">
        <v>0.71</v>
      </c>
      <c r="P109">
        <v>246.29</v>
      </c>
      <c r="Q109" t="s">
        <v>31</v>
      </c>
      <c r="R109">
        <v>0.19</v>
      </c>
      <c r="S109">
        <v>208.78</v>
      </c>
      <c r="T109" s="1" t="s">
        <v>33</v>
      </c>
      <c r="U109" s="1" t="s">
        <v>34</v>
      </c>
    </row>
    <row r="110" spans="1:21" ht="12" customHeight="1" x14ac:dyDescent="0.3">
      <c r="A110">
        <v>2021</v>
      </c>
      <c r="B110">
        <v>4</v>
      </c>
      <c r="C110">
        <v>30194</v>
      </c>
      <c r="D110">
        <v>32467</v>
      </c>
      <c r="E110" t="s">
        <v>21</v>
      </c>
      <c r="F110" t="s">
        <v>22</v>
      </c>
      <c r="G110">
        <v>11298</v>
      </c>
      <c r="H110">
        <v>13303</v>
      </c>
      <c r="I110" t="s">
        <v>27</v>
      </c>
      <c r="J110" t="s">
        <v>26</v>
      </c>
      <c r="K110">
        <v>1121</v>
      </c>
      <c r="L110">
        <v>569</v>
      </c>
      <c r="M110">
        <v>292.52999999999997</v>
      </c>
      <c r="N110" t="s">
        <v>28</v>
      </c>
      <c r="O110">
        <v>0.9</v>
      </c>
      <c r="P110">
        <v>296.29000000000002</v>
      </c>
      <c r="Q110" t="s">
        <v>37</v>
      </c>
      <c r="R110">
        <v>0.01</v>
      </c>
      <c r="S110">
        <v>218.82</v>
      </c>
      <c r="T110" s="1" t="s">
        <v>33</v>
      </c>
      <c r="U110" s="1" t="s">
        <v>34</v>
      </c>
    </row>
    <row r="111" spans="1:21" ht="12" customHeight="1" x14ac:dyDescent="0.3">
      <c r="A111">
        <v>2021</v>
      </c>
      <c r="B111">
        <v>1</v>
      </c>
      <c r="C111">
        <v>30194</v>
      </c>
      <c r="D111">
        <v>32467</v>
      </c>
      <c r="E111" t="s">
        <v>21</v>
      </c>
      <c r="F111" t="s">
        <v>22</v>
      </c>
      <c r="G111">
        <v>11298</v>
      </c>
      <c r="H111">
        <v>11697</v>
      </c>
      <c r="I111" t="s">
        <v>27</v>
      </c>
      <c r="J111" t="s">
        <v>24</v>
      </c>
      <c r="K111">
        <v>1121</v>
      </c>
      <c r="L111">
        <v>360</v>
      </c>
      <c r="M111">
        <v>236</v>
      </c>
      <c r="N111" t="s">
        <v>28</v>
      </c>
      <c r="O111">
        <v>0.67</v>
      </c>
      <c r="P111">
        <v>241.43</v>
      </c>
      <c r="Q111" t="s">
        <v>28</v>
      </c>
      <c r="R111">
        <v>0.67</v>
      </c>
      <c r="S111">
        <v>241.43</v>
      </c>
      <c r="T111" s="1" t="s">
        <v>33</v>
      </c>
      <c r="U111" s="1" t="s">
        <v>34</v>
      </c>
    </row>
    <row r="112" spans="1:21" ht="12" customHeight="1" x14ac:dyDescent="0.3">
      <c r="A112">
        <v>2021</v>
      </c>
      <c r="B112">
        <v>4</v>
      </c>
      <c r="C112">
        <v>30194</v>
      </c>
      <c r="D112">
        <v>32467</v>
      </c>
      <c r="E112" t="s">
        <v>21</v>
      </c>
      <c r="F112" t="s">
        <v>22</v>
      </c>
      <c r="G112">
        <v>11298</v>
      </c>
      <c r="H112">
        <v>13303</v>
      </c>
      <c r="I112" t="s">
        <v>27</v>
      </c>
      <c r="J112" t="s">
        <v>26</v>
      </c>
      <c r="K112">
        <v>1121</v>
      </c>
      <c r="L112">
        <v>626</v>
      </c>
      <c r="M112">
        <v>235.97</v>
      </c>
      <c r="N112" t="s">
        <v>28</v>
      </c>
      <c r="O112">
        <v>0.92</v>
      </c>
      <c r="P112">
        <v>235.23</v>
      </c>
      <c r="Q112" t="s">
        <v>31</v>
      </c>
      <c r="R112">
        <v>0.01</v>
      </c>
      <c r="S112">
        <v>230.17</v>
      </c>
      <c r="T112" s="1" t="s">
        <v>33</v>
      </c>
      <c r="U112" s="1" t="s">
        <v>34</v>
      </c>
    </row>
    <row r="113" spans="1:21" ht="12" customHeight="1" x14ac:dyDescent="0.3">
      <c r="A113">
        <v>2021</v>
      </c>
      <c r="B113">
        <v>4</v>
      </c>
      <c r="C113">
        <v>30194</v>
      </c>
      <c r="D113">
        <v>32467</v>
      </c>
      <c r="E113" t="s">
        <v>21</v>
      </c>
      <c r="F113" t="s">
        <v>22</v>
      </c>
      <c r="G113">
        <v>11259</v>
      </c>
      <c r="H113">
        <v>11697</v>
      </c>
      <c r="I113" t="s">
        <v>23</v>
      </c>
      <c r="J113" t="s">
        <v>24</v>
      </c>
      <c r="K113">
        <v>1121</v>
      </c>
      <c r="L113">
        <v>82</v>
      </c>
      <c r="M113">
        <v>182.29</v>
      </c>
      <c r="N113" t="s">
        <v>25</v>
      </c>
      <c r="O113">
        <v>0.89</v>
      </c>
      <c r="P113">
        <v>184.6</v>
      </c>
      <c r="Q113" t="s">
        <v>36</v>
      </c>
      <c r="R113">
        <v>0.03</v>
      </c>
      <c r="S113">
        <v>145.46</v>
      </c>
      <c r="T113" s="1" t="s">
        <v>33</v>
      </c>
      <c r="U113" s="1" t="s">
        <v>34</v>
      </c>
    </row>
    <row r="114" spans="1:21" ht="12" customHeight="1" x14ac:dyDescent="0.3">
      <c r="A114">
        <v>2021</v>
      </c>
      <c r="B114">
        <v>1</v>
      </c>
      <c r="C114">
        <v>30194</v>
      </c>
      <c r="D114">
        <v>32467</v>
      </c>
      <c r="E114" t="s">
        <v>21</v>
      </c>
      <c r="F114" t="s">
        <v>22</v>
      </c>
      <c r="G114">
        <v>11298</v>
      </c>
      <c r="H114">
        <v>13303</v>
      </c>
      <c r="I114" t="s">
        <v>27</v>
      </c>
      <c r="J114" t="s">
        <v>26</v>
      </c>
      <c r="K114">
        <v>1121</v>
      </c>
      <c r="L114">
        <v>478</v>
      </c>
      <c r="M114">
        <v>257.8</v>
      </c>
      <c r="N114" t="s">
        <v>28</v>
      </c>
      <c r="O114">
        <v>0.82</v>
      </c>
      <c r="P114">
        <v>263.77999999999997</v>
      </c>
      <c r="Q114" t="s">
        <v>35</v>
      </c>
      <c r="R114">
        <v>0.03</v>
      </c>
      <c r="S114">
        <v>190.62</v>
      </c>
      <c r="T114" s="1" t="s">
        <v>33</v>
      </c>
      <c r="U114" s="1" t="s">
        <v>34</v>
      </c>
    </row>
    <row r="115" spans="1:21" ht="12" customHeight="1" x14ac:dyDescent="0.3">
      <c r="A115">
        <v>2021</v>
      </c>
      <c r="B115">
        <v>3</v>
      </c>
      <c r="C115">
        <v>30194</v>
      </c>
      <c r="D115">
        <v>32467</v>
      </c>
      <c r="E115" t="s">
        <v>21</v>
      </c>
      <c r="F115" t="s">
        <v>22</v>
      </c>
      <c r="G115">
        <v>11259</v>
      </c>
      <c r="H115">
        <v>13303</v>
      </c>
      <c r="I115" t="s">
        <v>23</v>
      </c>
      <c r="J115" t="s">
        <v>26</v>
      </c>
      <c r="K115">
        <v>1121</v>
      </c>
      <c r="L115">
        <v>4</v>
      </c>
      <c r="M115">
        <v>149.6</v>
      </c>
      <c r="N115" t="s">
        <v>32</v>
      </c>
      <c r="O115">
        <v>0.82</v>
      </c>
      <c r="P115">
        <v>153.22</v>
      </c>
      <c r="Q115" t="s">
        <v>36</v>
      </c>
      <c r="R115">
        <v>0.05</v>
      </c>
      <c r="S115">
        <v>108.8</v>
      </c>
      <c r="T115" s="1" t="s">
        <v>33</v>
      </c>
      <c r="U115" s="1" t="s">
        <v>34</v>
      </c>
    </row>
    <row r="116" spans="1:21" ht="12" customHeight="1" x14ac:dyDescent="0.3">
      <c r="A116">
        <v>2021</v>
      </c>
      <c r="B116">
        <v>4</v>
      </c>
      <c r="C116">
        <v>30194</v>
      </c>
      <c r="D116">
        <v>32467</v>
      </c>
      <c r="E116" t="s">
        <v>21</v>
      </c>
      <c r="F116" t="s">
        <v>22</v>
      </c>
      <c r="G116">
        <v>11259</v>
      </c>
      <c r="H116">
        <v>13303</v>
      </c>
      <c r="I116" t="s">
        <v>23</v>
      </c>
      <c r="J116" t="s">
        <v>26</v>
      </c>
      <c r="K116">
        <v>1121</v>
      </c>
      <c r="L116">
        <v>4</v>
      </c>
      <c r="M116">
        <v>208.1</v>
      </c>
      <c r="N116" t="s">
        <v>32</v>
      </c>
      <c r="O116">
        <v>0.62</v>
      </c>
      <c r="P116">
        <v>194.42</v>
      </c>
      <c r="Q116" t="s">
        <v>32</v>
      </c>
      <c r="R116">
        <v>0.62</v>
      </c>
      <c r="S116">
        <v>194.42</v>
      </c>
      <c r="T116" s="1" t="s">
        <v>33</v>
      </c>
      <c r="U116" s="1" t="s">
        <v>34</v>
      </c>
    </row>
    <row r="117" spans="1:21" ht="12" customHeight="1" x14ac:dyDescent="0.3">
      <c r="A117">
        <v>2021</v>
      </c>
      <c r="B117">
        <v>4</v>
      </c>
      <c r="C117">
        <v>30194</v>
      </c>
      <c r="D117">
        <v>32467</v>
      </c>
      <c r="E117" t="s">
        <v>21</v>
      </c>
      <c r="F117" t="s">
        <v>22</v>
      </c>
      <c r="G117">
        <v>11298</v>
      </c>
      <c r="H117">
        <v>11697</v>
      </c>
      <c r="I117" t="s">
        <v>27</v>
      </c>
      <c r="J117" t="s">
        <v>24</v>
      </c>
      <c r="K117">
        <v>1121</v>
      </c>
      <c r="L117">
        <v>582</v>
      </c>
      <c r="M117">
        <v>195.99</v>
      </c>
      <c r="N117" t="s">
        <v>28</v>
      </c>
      <c r="O117">
        <v>0.88</v>
      </c>
      <c r="P117">
        <v>193.35</v>
      </c>
      <c r="Q117" t="s">
        <v>28</v>
      </c>
      <c r="R117">
        <v>0.88</v>
      </c>
      <c r="S117">
        <v>193.35</v>
      </c>
      <c r="T117" s="1" t="s">
        <v>33</v>
      </c>
      <c r="U117" s="1" t="s">
        <v>34</v>
      </c>
    </row>
    <row r="118" spans="1:21" ht="12" customHeight="1" x14ac:dyDescent="0.3">
      <c r="A118">
        <v>2021</v>
      </c>
      <c r="B118">
        <v>4</v>
      </c>
      <c r="C118">
        <v>30194</v>
      </c>
      <c r="D118">
        <v>32467</v>
      </c>
      <c r="E118" t="s">
        <v>21</v>
      </c>
      <c r="F118" t="s">
        <v>22</v>
      </c>
      <c r="G118">
        <v>11259</v>
      </c>
      <c r="H118">
        <v>13303</v>
      </c>
      <c r="I118" t="s">
        <v>23</v>
      </c>
      <c r="J118" t="s">
        <v>26</v>
      </c>
      <c r="K118">
        <v>1121</v>
      </c>
      <c r="L118">
        <v>9</v>
      </c>
      <c r="M118">
        <v>228.62</v>
      </c>
      <c r="N118" t="s">
        <v>37</v>
      </c>
      <c r="O118">
        <v>0.48</v>
      </c>
      <c r="P118">
        <v>218.16</v>
      </c>
      <c r="Q118" t="s">
        <v>37</v>
      </c>
      <c r="R118">
        <v>0.48</v>
      </c>
      <c r="S118">
        <v>218.16</v>
      </c>
      <c r="T118" s="1" t="s">
        <v>33</v>
      </c>
      <c r="U118" s="1" t="s">
        <v>34</v>
      </c>
    </row>
    <row r="119" spans="1:21" ht="12" customHeight="1" x14ac:dyDescent="0.3">
      <c r="A119">
        <v>2021</v>
      </c>
      <c r="B119">
        <v>3</v>
      </c>
      <c r="C119">
        <v>30194</v>
      </c>
      <c r="D119">
        <v>32467</v>
      </c>
      <c r="E119" t="s">
        <v>21</v>
      </c>
      <c r="F119" t="s">
        <v>22</v>
      </c>
      <c r="G119">
        <v>11259</v>
      </c>
      <c r="H119">
        <v>13303</v>
      </c>
      <c r="I119" t="s">
        <v>23</v>
      </c>
      <c r="J119" t="s">
        <v>26</v>
      </c>
      <c r="K119">
        <v>1121</v>
      </c>
      <c r="L119">
        <v>1</v>
      </c>
      <c r="M119">
        <v>219.11</v>
      </c>
      <c r="N119" t="s">
        <v>32</v>
      </c>
      <c r="O119">
        <v>1</v>
      </c>
      <c r="P119">
        <v>219.11</v>
      </c>
      <c r="Q119" t="s">
        <v>32</v>
      </c>
      <c r="R119">
        <v>1</v>
      </c>
      <c r="S119">
        <v>219.11</v>
      </c>
      <c r="T119" s="1" t="s">
        <v>33</v>
      </c>
      <c r="U119" s="1" t="s">
        <v>34</v>
      </c>
    </row>
    <row r="120" spans="1:21" ht="12" customHeight="1" x14ac:dyDescent="0.3">
      <c r="A120">
        <v>2021</v>
      </c>
      <c r="B120">
        <v>3</v>
      </c>
      <c r="C120">
        <v>30194</v>
      </c>
      <c r="D120">
        <v>32467</v>
      </c>
      <c r="E120" t="s">
        <v>21</v>
      </c>
      <c r="F120" t="s">
        <v>22</v>
      </c>
      <c r="G120">
        <v>11259</v>
      </c>
      <c r="H120">
        <v>13303</v>
      </c>
      <c r="I120" t="s">
        <v>23</v>
      </c>
      <c r="J120" t="s">
        <v>26</v>
      </c>
      <c r="K120">
        <v>1121</v>
      </c>
      <c r="L120">
        <v>6</v>
      </c>
      <c r="M120">
        <v>230.77</v>
      </c>
      <c r="N120" t="s">
        <v>37</v>
      </c>
      <c r="O120">
        <v>0.5</v>
      </c>
      <c r="P120">
        <v>250.07</v>
      </c>
      <c r="Q120" t="s">
        <v>31</v>
      </c>
      <c r="R120">
        <v>0.49</v>
      </c>
      <c r="S120">
        <v>210.74</v>
      </c>
      <c r="T120" s="1" t="s">
        <v>33</v>
      </c>
      <c r="U120" s="1" t="s">
        <v>34</v>
      </c>
    </row>
    <row r="121" spans="1:21" ht="12" customHeight="1" x14ac:dyDescent="0.3">
      <c r="A121">
        <v>2021</v>
      </c>
      <c r="B121">
        <v>1</v>
      </c>
      <c r="C121">
        <v>30194</v>
      </c>
      <c r="D121">
        <v>32467</v>
      </c>
      <c r="E121" t="s">
        <v>21</v>
      </c>
      <c r="F121" t="s">
        <v>22</v>
      </c>
      <c r="G121">
        <v>11259</v>
      </c>
      <c r="H121">
        <v>11697</v>
      </c>
      <c r="I121" t="s">
        <v>23</v>
      </c>
      <c r="J121" t="s">
        <v>24</v>
      </c>
      <c r="K121">
        <v>1121</v>
      </c>
      <c r="L121">
        <v>56</v>
      </c>
      <c r="M121">
        <v>201.33</v>
      </c>
      <c r="N121" t="s">
        <v>25</v>
      </c>
      <c r="O121">
        <v>0.95</v>
      </c>
      <c r="P121">
        <v>198.89</v>
      </c>
      <c r="Q121" t="s">
        <v>25</v>
      </c>
      <c r="R121">
        <v>0.95</v>
      </c>
      <c r="S121">
        <v>198.89</v>
      </c>
      <c r="T121" s="1" t="s">
        <v>33</v>
      </c>
      <c r="U121" s="1" t="s">
        <v>34</v>
      </c>
    </row>
    <row r="122" spans="1:21" ht="12" customHeight="1" x14ac:dyDescent="0.3">
      <c r="A122">
        <v>2021</v>
      </c>
      <c r="B122">
        <v>3</v>
      </c>
      <c r="C122">
        <v>30194</v>
      </c>
      <c r="D122">
        <v>32467</v>
      </c>
      <c r="E122" t="s">
        <v>21</v>
      </c>
      <c r="F122" t="s">
        <v>22</v>
      </c>
      <c r="G122">
        <v>11259</v>
      </c>
      <c r="H122">
        <v>13303</v>
      </c>
      <c r="I122" t="s">
        <v>23</v>
      </c>
      <c r="J122" t="s">
        <v>26</v>
      </c>
      <c r="K122">
        <v>1121</v>
      </c>
      <c r="L122">
        <v>4</v>
      </c>
      <c r="M122">
        <v>170.49</v>
      </c>
      <c r="N122" t="s">
        <v>32</v>
      </c>
      <c r="O122">
        <v>0.51</v>
      </c>
      <c r="P122">
        <v>206.38</v>
      </c>
      <c r="Q122" t="s">
        <v>31</v>
      </c>
      <c r="R122">
        <v>0.43</v>
      </c>
      <c r="S122">
        <v>130.11000000000001</v>
      </c>
      <c r="T122" s="1" t="s">
        <v>33</v>
      </c>
      <c r="U122" s="1" t="s">
        <v>34</v>
      </c>
    </row>
    <row r="123" spans="1:21" ht="12" customHeight="1" x14ac:dyDescent="0.3">
      <c r="A123">
        <v>2021</v>
      </c>
      <c r="B123">
        <v>2</v>
      </c>
      <c r="C123">
        <v>30194</v>
      </c>
      <c r="D123">
        <v>32467</v>
      </c>
      <c r="E123" t="s">
        <v>21</v>
      </c>
      <c r="F123" t="s">
        <v>22</v>
      </c>
      <c r="G123">
        <v>11298</v>
      </c>
      <c r="H123">
        <v>11697</v>
      </c>
      <c r="I123" t="s">
        <v>27</v>
      </c>
      <c r="J123" t="s">
        <v>24</v>
      </c>
      <c r="K123">
        <v>1121</v>
      </c>
      <c r="L123">
        <v>350</v>
      </c>
      <c r="M123">
        <v>214.86</v>
      </c>
      <c r="N123" t="s">
        <v>28</v>
      </c>
      <c r="O123">
        <v>0.57999999999999996</v>
      </c>
      <c r="P123">
        <v>219.42</v>
      </c>
      <c r="Q123" t="s">
        <v>31</v>
      </c>
      <c r="R123">
        <v>0.27</v>
      </c>
      <c r="S123">
        <v>213.39</v>
      </c>
      <c r="T123" s="1" t="s">
        <v>33</v>
      </c>
      <c r="U123" s="1" t="s">
        <v>34</v>
      </c>
    </row>
    <row r="124" spans="1:21" ht="12" customHeight="1" x14ac:dyDescent="0.3">
      <c r="A124">
        <v>2021</v>
      </c>
      <c r="B124">
        <v>4</v>
      </c>
      <c r="C124">
        <v>30194</v>
      </c>
      <c r="D124">
        <v>32467</v>
      </c>
      <c r="E124" t="s">
        <v>21</v>
      </c>
      <c r="F124" t="s">
        <v>22</v>
      </c>
      <c r="G124">
        <v>11298</v>
      </c>
      <c r="H124">
        <v>13303</v>
      </c>
      <c r="I124" t="s">
        <v>27</v>
      </c>
      <c r="J124" t="s">
        <v>26</v>
      </c>
      <c r="K124">
        <v>1121</v>
      </c>
      <c r="L124">
        <v>577</v>
      </c>
      <c r="M124">
        <v>207.07</v>
      </c>
      <c r="N124" t="s">
        <v>28</v>
      </c>
      <c r="O124">
        <v>0.92</v>
      </c>
      <c r="P124">
        <v>207.45</v>
      </c>
      <c r="Q124" t="s">
        <v>31</v>
      </c>
      <c r="R124">
        <v>0.01</v>
      </c>
      <c r="S124">
        <v>175.25</v>
      </c>
      <c r="T124" s="1" t="s">
        <v>33</v>
      </c>
      <c r="U124" s="1" t="s">
        <v>34</v>
      </c>
    </row>
    <row r="125" spans="1:21" ht="12" customHeight="1" x14ac:dyDescent="0.3">
      <c r="A125">
        <v>2021</v>
      </c>
      <c r="B125">
        <v>2</v>
      </c>
      <c r="C125">
        <v>30194</v>
      </c>
      <c r="D125">
        <v>32467</v>
      </c>
      <c r="E125" t="s">
        <v>21</v>
      </c>
      <c r="F125" t="s">
        <v>22</v>
      </c>
      <c r="G125">
        <v>11259</v>
      </c>
      <c r="H125">
        <v>11697</v>
      </c>
      <c r="I125" t="s">
        <v>23</v>
      </c>
      <c r="J125" t="s">
        <v>24</v>
      </c>
      <c r="K125">
        <v>1121</v>
      </c>
      <c r="L125">
        <v>81</v>
      </c>
      <c r="M125">
        <v>220.51</v>
      </c>
      <c r="N125" t="s">
        <v>25</v>
      </c>
      <c r="O125">
        <v>0.87</v>
      </c>
      <c r="P125">
        <v>223.41</v>
      </c>
      <c r="Q125" t="s">
        <v>31</v>
      </c>
      <c r="R125">
        <v>0.02</v>
      </c>
      <c r="S125">
        <v>150.53</v>
      </c>
      <c r="T125" s="1" t="s">
        <v>33</v>
      </c>
      <c r="U125" s="1" t="s">
        <v>34</v>
      </c>
    </row>
    <row r="126" spans="1:21" ht="12" customHeight="1" x14ac:dyDescent="0.3">
      <c r="A126">
        <v>2021</v>
      </c>
      <c r="B126">
        <v>4</v>
      </c>
      <c r="C126">
        <v>30194</v>
      </c>
      <c r="D126">
        <v>32467</v>
      </c>
      <c r="E126" t="s">
        <v>21</v>
      </c>
      <c r="F126" t="s">
        <v>22</v>
      </c>
      <c r="G126">
        <v>11298</v>
      </c>
      <c r="H126">
        <v>11697</v>
      </c>
      <c r="I126" t="s">
        <v>27</v>
      </c>
      <c r="J126" t="s">
        <v>24</v>
      </c>
      <c r="K126">
        <v>1121</v>
      </c>
      <c r="L126">
        <v>481</v>
      </c>
      <c r="M126">
        <v>211.49</v>
      </c>
      <c r="N126" t="s">
        <v>28</v>
      </c>
      <c r="O126">
        <v>0.5</v>
      </c>
      <c r="P126">
        <v>218.3</v>
      </c>
      <c r="Q126" t="s">
        <v>31</v>
      </c>
      <c r="R126">
        <v>0.38</v>
      </c>
      <c r="S126">
        <v>206.87</v>
      </c>
      <c r="T126" s="1" t="s">
        <v>33</v>
      </c>
      <c r="U126" s="1" t="s">
        <v>34</v>
      </c>
    </row>
    <row r="127" spans="1:21" ht="12" customHeight="1" x14ac:dyDescent="0.3">
      <c r="A127">
        <v>2021</v>
      </c>
      <c r="B127">
        <v>3</v>
      </c>
      <c r="C127">
        <v>30194</v>
      </c>
      <c r="D127">
        <v>32467</v>
      </c>
      <c r="E127" t="s">
        <v>21</v>
      </c>
      <c r="F127" t="s">
        <v>22</v>
      </c>
      <c r="G127">
        <v>11298</v>
      </c>
      <c r="H127">
        <v>11697</v>
      </c>
      <c r="I127" t="s">
        <v>27</v>
      </c>
      <c r="J127" t="s">
        <v>24</v>
      </c>
      <c r="K127">
        <v>1121</v>
      </c>
      <c r="L127">
        <v>508</v>
      </c>
      <c r="M127">
        <v>219.55</v>
      </c>
      <c r="N127" t="s">
        <v>28</v>
      </c>
      <c r="O127">
        <v>0.77</v>
      </c>
      <c r="P127">
        <v>225.43</v>
      </c>
      <c r="Q127" t="s">
        <v>35</v>
      </c>
      <c r="R127">
        <v>0.11</v>
      </c>
      <c r="S127">
        <v>178.03</v>
      </c>
      <c r="T127" s="1" t="s">
        <v>33</v>
      </c>
      <c r="U127" s="1" t="s">
        <v>34</v>
      </c>
    </row>
    <row r="128" spans="1:21" ht="12" customHeight="1" x14ac:dyDescent="0.3">
      <c r="A128">
        <v>2021</v>
      </c>
      <c r="B128">
        <v>2</v>
      </c>
      <c r="C128">
        <v>30194</v>
      </c>
      <c r="D128">
        <v>32467</v>
      </c>
      <c r="E128" t="s">
        <v>21</v>
      </c>
      <c r="F128" t="s">
        <v>22</v>
      </c>
      <c r="G128">
        <v>11298</v>
      </c>
      <c r="H128">
        <v>13303</v>
      </c>
      <c r="I128" t="s">
        <v>27</v>
      </c>
      <c r="J128" t="s">
        <v>26</v>
      </c>
      <c r="K128">
        <v>1121</v>
      </c>
      <c r="L128">
        <v>472</v>
      </c>
      <c r="M128">
        <v>231.35</v>
      </c>
      <c r="N128" t="s">
        <v>28</v>
      </c>
      <c r="O128">
        <v>0.81</v>
      </c>
      <c r="P128">
        <v>237.86</v>
      </c>
      <c r="Q128" t="s">
        <v>31</v>
      </c>
      <c r="R128">
        <v>0.09</v>
      </c>
      <c r="S128">
        <v>175.71</v>
      </c>
      <c r="T128" s="1" t="s">
        <v>33</v>
      </c>
      <c r="U128" s="1" t="s">
        <v>34</v>
      </c>
    </row>
    <row r="129" spans="1:21" ht="12" customHeight="1" x14ac:dyDescent="0.3">
      <c r="A129">
        <v>2021</v>
      </c>
      <c r="B129">
        <v>2</v>
      </c>
      <c r="C129">
        <v>30194</v>
      </c>
      <c r="D129">
        <v>32467</v>
      </c>
      <c r="E129" t="s">
        <v>21</v>
      </c>
      <c r="F129" t="s">
        <v>22</v>
      </c>
      <c r="G129">
        <v>11259</v>
      </c>
      <c r="H129">
        <v>13303</v>
      </c>
      <c r="I129" t="s">
        <v>23</v>
      </c>
      <c r="J129" t="s">
        <v>26</v>
      </c>
      <c r="K129">
        <v>1121</v>
      </c>
      <c r="L129">
        <v>6</v>
      </c>
      <c r="M129">
        <v>181.97</v>
      </c>
      <c r="N129" t="s">
        <v>32</v>
      </c>
      <c r="O129">
        <v>0.92</v>
      </c>
      <c r="P129">
        <v>181.87</v>
      </c>
      <c r="Q129" t="s">
        <v>32</v>
      </c>
      <c r="R129">
        <v>0.92</v>
      </c>
      <c r="S129">
        <v>181.87</v>
      </c>
      <c r="T129" s="1" t="s">
        <v>33</v>
      </c>
      <c r="U129" s="1" t="s">
        <v>34</v>
      </c>
    </row>
    <row r="130" spans="1:21" ht="12" customHeight="1" x14ac:dyDescent="0.3">
      <c r="A130">
        <v>2021</v>
      </c>
      <c r="B130">
        <v>3</v>
      </c>
      <c r="C130">
        <v>30194</v>
      </c>
      <c r="D130">
        <v>32467</v>
      </c>
      <c r="E130" t="s">
        <v>21</v>
      </c>
      <c r="F130" t="s">
        <v>22</v>
      </c>
      <c r="G130">
        <v>11259</v>
      </c>
      <c r="H130">
        <v>13303</v>
      </c>
      <c r="I130" t="s">
        <v>23</v>
      </c>
      <c r="J130" t="s">
        <v>26</v>
      </c>
      <c r="K130">
        <v>1121</v>
      </c>
      <c r="L130">
        <v>4</v>
      </c>
      <c r="M130">
        <v>173.9</v>
      </c>
      <c r="N130" t="s">
        <v>32</v>
      </c>
      <c r="O130">
        <v>0.97</v>
      </c>
      <c r="P130">
        <v>175.19</v>
      </c>
      <c r="Q130" t="s">
        <v>32</v>
      </c>
      <c r="R130">
        <v>0.97</v>
      </c>
      <c r="S130">
        <v>175.19</v>
      </c>
      <c r="T130" s="1" t="s">
        <v>33</v>
      </c>
      <c r="U130" s="1" t="s">
        <v>34</v>
      </c>
    </row>
    <row r="131" spans="1:21" ht="12" customHeight="1" x14ac:dyDescent="0.3">
      <c r="A131">
        <v>2021</v>
      </c>
      <c r="B131">
        <v>1</v>
      </c>
      <c r="C131">
        <v>30194</v>
      </c>
      <c r="D131">
        <v>32467</v>
      </c>
      <c r="E131" t="s">
        <v>21</v>
      </c>
      <c r="F131" t="s">
        <v>22</v>
      </c>
      <c r="G131">
        <v>11259</v>
      </c>
      <c r="H131">
        <v>11697</v>
      </c>
      <c r="I131" t="s">
        <v>23</v>
      </c>
      <c r="J131" t="s">
        <v>24</v>
      </c>
      <c r="K131">
        <v>1121</v>
      </c>
      <c r="L131">
        <v>10</v>
      </c>
      <c r="M131">
        <v>191.94</v>
      </c>
      <c r="N131" t="s">
        <v>32</v>
      </c>
      <c r="O131">
        <v>0.56000000000000005</v>
      </c>
      <c r="P131">
        <v>143.15</v>
      </c>
      <c r="Q131" t="s">
        <v>32</v>
      </c>
      <c r="R131">
        <v>0.56000000000000005</v>
      </c>
      <c r="S131">
        <v>143.15</v>
      </c>
      <c r="T131" s="1" t="s">
        <v>33</v>
      </c>
      <c r="U131" s="1" t="s">
        <v>34</v>
      </c>
    </row>
    <row r="132" spans="1:21" ht="12" customHeight="1" x14ac:dyDescent="0.3">
      <c r="A132">
        <v>2021</v>
      </c>
      <c r="B132">
        <v>2</v>
      </c>
      <c r="C132">
        <v>30194</v>
      </c>
      <c r="D132">
        <v>32467</v>
      </c>
      <c r="E132" t="s">
        <v>21</v>
      </c>
      <c r="F132" t="s">
        <v>22</v>
      </c>
      <c r="G132">
        <v>11259</v>
      </c>
      <c r="H132">
        <v>11697</v>
      </c>
      <c r="I132" t="s">
        <v>23</v>
      </c>
      <c r="J132" t="s">
        <v>24</v>
      </c>
      <c r="K132">
        <v>1121</v>
      </c>
      <c r="L132">
        <v>16</v>
      </c>
      <c r="M132">
        <v>191.42</v>
      </c>
      <c r="N132" t="s">
        <v>32</v>
      </c>
      <c r="O132">
        <v>0.52</v>
      </c>
      <c r="P132">
        <v>166.02</v>
      </c>
      <c r="Q132" t="s">
        <v>31</v>
      </c>
      <c r="R132">
        <v>0.16</v>
      </c>
      <c r="S132">
        <v>120.21</v>
      </c>
      <c r="T132" s="1" t="s">
        <v>33</v>
      </c>
      <c r="U132" s="1" t="s">
        <v>34</v>
      </c>
    </row>
    <row r="133" spans="1:21" ht="12" customHeight="1" x14ac:dyDescent="0.3">
      <c r="A133">
        <v>2021</v>
      </c>
      <c r="B133">
        <v>4</v>
      </c>
      <c r="C133">
        <v>30194</v>
      </c>
      <c r="D133">
        <v>32467</v>
      </c>
      <c r="E133" t="s">
        <v>21</v>
      </c>
      <c r="F133" t="s">
        <v>22</v>
      </c>
      <c r="G133">
        <v>11298</v>
      </c>
      <c r="H133">
        <v>11697</v>
      </c>
      <c r="I133" t="s">
        <v>27</v>
      </c>
      <c r="J133" t="s">
        <v>24</v>
      </c>
      <c r="K133">
        <v>1121</v>
      </c>
      <c r="L133">
        <v>846</v>
      </c>
      <c r="M133">
        <v>177.19</v>
      </c>
      <c r="N133" t="s">
        <v>28</v>
      </c>
      <c r="O133">
        <v>0.63</v>
      </c>
      <c r="P133">
        <v>202.65</v>
      </c>
      <c r="Q133" t="s">
        <v>29</v>
      </c>
      <c r="R133">
        <v>0.28999999999999998</v>
      </c>
      <c r="S133">
        <v>108.54</v>
      </c>
      <c r="T133" s="1" t="s">
        <v>33</v>
      </c>
      <c r="U133" s="1" t="s">
        <v>34</v>
      </c>
    </row>
    <row r="134" spans="1:21" ht="12" customHeight="1" x14ac:dyDescent="0.3">
      <c r="A134">
        <v>2021</v>
      </c>
      <c r="B134">
        <v>3</v>
      </c>
      <c r="C134">
        <v>30194</v>
      </c>
      <c r="D134">
        <v>32467</v>
      </c>
      <c r="E134" t="s">
        <v>21</v>
      </c>
      <c r="F134" t="s">
        <v>22</v>
      </c>
      <c r="G134">
        <v>11259</v>
      </c>
      <c r="H134">
        <v>11697</v>
      </c>
      <c r="I134" t="s">
        <v>23</v>
      </c>
      <c r="J134" t="s">
        <v>24</v>
      </c>
      <c r="K134">
        <v>1121</v>
      </c>
      <c r="L134">
        <v>14</v>
      </c>
      <c r="M134">
        <v>211.16</v>
      </c>
      <c r="N134" t="s">
        <v>31</v>
      </c>
      <c r="O134">
        <v>0.34</v>
      </c>
      <c r="P134">
        <v>170.14</v>
      </c>
      <c r="Q134" t="s">
        <v>31</v>
      </c>
      <c r="R134">
        <v>0.34</v>
      </c>
      <c r="S134">
        <v>170.14</v>
      </c>
      <c r="T134" s="1" t="s">
        <v>33</v>
      </c>
      <c r="U134" s="1" t="s">
        <v>34</v>
      </c>
    </row>
    <row r="135" spans="1:21" ht="12" customHeight="1" x14ac:dyDescent="0.3">
      <c r="A135">
        <v>2021</v>
      </c>
      <c r="B135">
        <v>1</v>
      </c>
      <c r="C135">
        <v>30194</v>
      </c>
      <c r="D135">
        <v>32467</v>
      </c>
      <c r="E135" t="s">
        <v>21</v>
      </c>
      <c r="F135" t="s">
        <v>22</v>
      </c>
      <c r="G135">
        <v>11259</v>
      </c>
      <c r="H135">
        <v>11697</v>
      </c>
      <c r="I135" t="s">
        <v>23</v>
      </c>
      <c r="J135" t="s">
        <v>24</v>
      </c>
      <c r="K135">
        <v>1121</v>
      </c>
      <c r="L135">
        <v>9</v>
      </c>
      <c r="M135">
        <v>189.96</v>
      </c>
      <c r="N135" t="s">
        <v>32</v>
      </c>
      <c r="O135">
        <v>0.75</v>
      </c>
      <c r="P135">
        <v>181.8</v>
      </c>
      <c r="Q135" t="s">
        <v>32</v>
      </c>
      <c r="R135">
        <v>0.75</v>
      </c>
      <c r="S135">
        <v>181.8</v>
      </c>
      <c r="T135" s="1" t="s">
        <v>33</v>
      </c>
      <c r="U135" s="1" t="s">
        <v>34</v>
      </c>
    </row>
    <row r="136" spans="1:21" ht="12" customHeight="1" x14ac:dyDescent="0.3">
      <c r="A136">
        <v>2021</v>
      </c>
      <c r="B136">
        <v>4</v>
      </c>
      <c r="C136">
        <v>30194</v>
      </c>
      <c r="D136">
        <v>32467</v>
      </c>
      <c r="E136" t="s">
        <v>21</v>
      </c>
      <c r="F136" t="s">
        <v>22</v>
      </c>
      <c r="G136">
        <v>11259</v>
      </c>
      <c r="H136">
        <v>13303</v>
      </c>
      <c r="I136" t="s">
        <v>23</v>
      </c>
      <c r="J136" t="s">
        <v>26</v>
      </c>
      <c r="K136">
        <v>1121</v>
      </c>
      <c r="L136">
        <v>5</v>
      </c>
      <c r="M136">
        <v>196.84</v>
      </c>
      <c r="N136" t="s">
        <v>32</v>
      </c>
      <c r="O136">
        <v>0.94</v>
      </c>
      <c r="P136">
        <v>200.33</v>
      </c>
      <c r="Q136" t="s">
        <v>32</v>
      </c>
      <c r="R136">
        <v>0.94</v>
      </c>
      <c r="S136">
        <v>200.33</v>
      </c>
      <c r="T136" s="1" t="s">
        <v>33</v>
      </c>
      <c r="U136" s="1" t="s">
        <v>34</v>
      </c>
    </row>
    <row r="137" spans="1:21" ht="12" customHeight="1" x14ac:dyDescent="0.3">
      <c r="A137">
        <v>2021</v>
      </c>
      <c r="B137">
        <v>2</v>
      </c>
      <c r="C137">
        <v>30194</v>
      </c>
      <c r="D137">
        <v>32467</v>
      </c>
      <c r="E137" t="s">
        <v>21</v>
      </c>
      <c r="F137" t="s">
        <v>22</v>
      </c>
      <c r="G137">
        <v>11298</v>
      </c>
      <c r="H137">
        <v>11697</v>
      </c>
      <c r="I137" t="s">
        <v>27</v>
      </c>
      <c r="J137" t="s">
        <v>24</v>
      </c>
      <c r="K137">
        <v>1121</v>
      </c>
      <c r="L137">
        <v>919</v>
      </c>
      <c r="M137">
        <v>196.56</v>
      </c>
      <c r="N137" t="s">
        <v>28</v>
      </c>
      <c r="O137">
        <v>0.56999999999999995</v>
      </c>
      <c r="P137">
        <v>233.23</v>
      </c>
      <c r="Q137" t="s">
        <v>29</v>
      </c>
      <c r="R137">
        <v>0.35</v>
      </c>
      <c r="S137">
        <v>126.3</v>
      </c>
      <c r="T137" s="1" t="s">
        <v>33</v>
      </c>
      <c r="U137" s="1" t="s">
        <v>34</v>
      </c>
    </row>
    <row r="138" spans="1:21" ht="12" customHeight="1" x14ac:dyDescent="0.3">
      <c r="A138">
        <v>2021</v>
      </c>
      <c r="B138">
        <v>3</v>
      </c>
      <c r="C138">
        <v>30194</v>
      </c>
      <c r="D138">
        <v>32467</v>
      </c>
      <c r="E138" t="s">
        <v>21</v>
      </c>
      <c r="F138" t="s">
        <v>22</v>
      </c>
      <c r="G138">
        <v>11298</v>
      </c>
      <c r="H138">
        <v>13303</v>
      </c>
      <c r="I138" t="s">
        <v>27</v>
      </c>
      <c r="J138" t="s">
        <v>26</v>
      </c>
      <c r="K138">
        <v>1121</v>
      </c>
      <c r="L138">
        <v>494</v>
      </c>
      <c r="M138">
        <v>205.81</v>
      </c>
      <c r="N138" t="s">
        <v>28</v>
      </c>
      <c r="O138">
        <v>0.72</v>
      </c>
      <c r="P138">
        <v>230.06</v>
      </c>
      <c r="Q138" t="s">
        <v>35</v>
      </c>
      <c r="R138">
        <v>0.06</v>
      </c>
      <c r="S138">
        <v>103.77</v>
      </c>
      <c r="T138" s="1" t="s">
        <v>33</v>
      </c>
      <c r="U138" s="1" t="s">
        <v>34</v>
      </c>
    </row>
    <row r="139" spans="1:21" ht="12" customHeight="1" x14ac:dyDescent="0.3">
      <c r="A139">
        <v>2021</v>
      </c>
      <c r="B139">
        <v>4</v>
      </c>
      <c r="C139">
        <v>30194</v>
      </c>
      <c r="D139">
        <v>32467</v>
      </c>
      <c r="E139" t="s">
        <v>21</v>
      </c>
      <c r="F139" t="s">
        <v>22</v>
      </c>
      <c r="G139">
        <v>11259</v>
      </c>
      <c r="H139">
        <v>11697</v>
      </c>
      <c r="I139" t="s">
        <v>23</v>
      </c>
      <c r="J139" t="s">
        <v>24</v>
      </c>
      <c r="K139">
        <v>1121</v>
      </c>
      <c r="L139">
        <v>91</v>
      </c>
      <c r="M139">
        <v>197.67</v>
      </c>
      <c r="N139" t="s">
        <v>25</v>
      </c>
      <c r="O139">
        <v>0.93</v>
      </c>
      <c r="P139">
        <v>195.45</v>
      </c>
      <c r="Q139" t="s">
        <v>25</v>
      </c>
      <c r="R139">
        <v>0.93</v>
      </c>
      <c r="S139">
        <v>195.45</v>
      </c>
      <c r="T139" s="1" t="s">
        <v>33</v>
      </c>
      <c r="U139" s="1" t="s">
        <v>34</v>
      </c>
    </row>
    <row r="140" spans="1:21" ht="12" customHeight="1" x14ac:dyDescent="0.3">
      <c r="A140">
        <v>2021</v>
      </c>
      <c r="B140">
        <v>3</v>
      </c>
      <c r="C140">
        <v>30194</v>
      </c>
      <c r="D140">
        <v>32467</v>
      </c>
      <c r="E140" t="s">
        <v>21</v>
      </c>
      <c r="F140" t="s">
        <v>22</v>
      </c>
      <c r="G140">
        <v>11298</v>
      </c>
      <c r="H140">
        <v>11697</v>
      </c>
      <c r="I140" t="s">
        <v>27</v>
      </c>
      <c r="J140" t="s">
        <v>24</v>
      </c>
      <c r="K140">
        <v>1121</v>
      </c>
      <c r="L140">
        <v>866</v>
      </c>
      <c r="M140">
        <v>166.31</v>
      </c>
      <c r="N140" t="s">
        <v>28</v>
      </c>
      <c r="O140">
        <v>0.61</v>
      </c>
      <c r="P140">
        <v>190.65</v>
      </c>
      <c r="Q140" t="s">
        <v>29</v>
      </c>
      <c r="R140">
        <v>0.32</v>
      </c>
      <c r="S140">
        <v>109.67</v>
      </c>
      <c r="T140" s="1" t="s">
        <v>33</v>
      </c>
      <c r="U140" s="1" t="s">
        <v>34</v>
      </c>
    </row>
    <row r="141" spans="1:21" ht="12" customHeight="1" x14ac:dyDescent="0.3">
      <c r="A141">
        <v>2021</v>
      </c>
      <c r="B141">
        <v>2</v>
      </c>
      <c r="C141">
        <v>30194</v>
      </c>
      <c r="D141">
        <v>32467</v>
      </c>
      <c r="E141" t="s">
        <v>21</v>
      </c>
      <c r="F141" t="s">
        <v>22</v>
      </c>
      <c r="G141">
        <v>11259</v>
      </c>
      <c r="H141">
        <v>11697</v>
      </c>
      <c r="I141" t="s">
        <v>23</v>
      </c>
      <c r="J141" t="s">
        <v>24</v>
      </c>
      <c r="K141">
        <v>1121</v>
      </c>
      <c r="L141">
        <v>50</v>
      </c>
      <c r="M141">
        <v>189.9</v>
      </c>
      <c r="N141" t="s">
        <v>25</v>
      </c>
      <c r="O141">
        <v>0.87</v>
      </c>
      <c r="P141">
        <v>187.36</v>
      </c>
      <c r="Q141" t="s">
        <v>25</v>
      </c>
      <c r="R141">
        <v>0.87</v>
      </c>
      <c r="S141">
        <v>187.36</v>
      </c>
      <c r="T141" s="1" t="s">
        <v>33</v>
      </c>
      <c r="U141" s="1" t="s">
        <v>34</v>
      </c>
    </row>
    <row r="142" spans="1:21" ht="12" customHeight="1" x14ac:dyDescent="0.3">
      <c r="A142">
        <v>2021</v>
      </c>
      <c r="B142">
        <v>2</v>
      </c>
      <c r="C142">
        <v>30194</v>
      </c>
      <c r="D142">
        <v>32467</v>
      </c>
      <c r="E142" t="s">
        <v>21</v>
      </c>
      <c r="F142" t="s">
        <v>22</v>
      </c>
      <c r="G142">
        <v>11298</v>
      </c>
      <c r="H142">
        <v>13303</v>
      </c>
      <c r="I142" t="s">
        <v>27</v>
      </c>
      <c r="J142" t="s">
        <v>26</v>
      </c>
      <c r="K142">
        <v>1121</v>
      </c>
      <c r="L142">
        <v>532</v>
      </c>
      <c r="M142">
        <v>247.56</v>
      </c>
      <c r="N142" t="s">
        <v>28</v>
      </c>
      <c r="O142">
        <v>0.81</v>
      </c>
      <c r="P142">
        <v>259.60000000000002</v>
      </c>
      <c r="Q142" t="s">
        <v>36</v>
      </c>
      <c r="R142">
        <v>0.01</v>
      </c>
      <c r="S142">
        <v>122.19</v>
      </c>
      <c r="T142" s="1" t="s">
        <v>33</v>
      </c>
      <c r="U142" s="1" t="s">
        <v>34</v>
      </c>
    </row>
    <row r="143" spans="1:21" ht="12" customHeight="1" x14ac:dyDescent="0.3">
      <c r="A143">
        <v>2021</v>
      </c>
      <c r="B143">
        <v>2</v>
      </c>
      <c r="C143">
        <v>30194</v>
      </c>
      <c r="D143">
        <v>32467</v>
      </c>
      <c r="E143" t="s">
        <v>21</v>
      </c>
      <c r="F143" t="s">
        <v>22</v>
      </c>
      <c r="G143">
        <v>11298</v>
      </c>
      <c r="H143">
        <v>11697</v>
      </c>
      <c r="I143" t="s">
        <v>27</v>
      </c>
      <c r="J143" t="s">
        <v>24</v>
      </c>
      <c r="K143">
        <v>1121</v>
      </c>
      <c r="L143">
        <v>559</v>
      </c>
      <c r="M143">
        <v>195.48</v>
      </c>
      <c r="N143" t="s">
        <v>28</v>
      </c>
      <c r="O143">
        <v>0.5</v>
      </c>
      <c r="P143">
        <v>209.53</v>
      </c>
      <c r="Q143" t="s">
        <v>31</v>
      </c>
      <c r="R143">
        <v>0.37</v>
      </c>
      <c r="S143">
        <v>172.93</v>
      </c>
      <c r="T143" s="1" t="s">
        <v>33</v>
      </c>
      <c r="U143" s="1" t="s">
        <v>34</v>
      </c>
    </row>
    <row r="144" spans="1:21" ht="12" customHeight="1" x14ac:dyDescent="0.3">
      <c r="A144">
        <v>2021</v>
      </c>
      <c r="B144">
        <v>4</v>
      </c>
      <c r="C144">
        <v>30194</v>
      </c>
      <c r="D144">
        <v>32467</v>
      </c>
      <c r="E144" t="s">
        <v>21</v>
      </c>
      <c r="F144" t="s">
        <v>22</v>
      </c>
      <c r="G144">
        <v>11259</v>
      </c>
      <c r="H144">
        <v>11697</v>
      </c>
      <c r="I144" t="s">
        <v>23</v>
      </c>
      <c r="J144" t="s">
        <v>24</v>
      </c>
      <c r="K144">
        <v>1121</v>
      </c>
      <c r="L144">
        <v>38</v>
      </c>
      <c r="M144">
        <v>169.5</v>
      </c>
      <c r="N144" t="s">
        <v>25</v>
      </c>
      <c r="O144">
        <v>0.74</v>
      </c>
      <c r="P144">
        <v>167.44</v>
      </c>
      <c r="Q144" t="s">
        <v>25</v>
      </c>
      <c r="R144">
        <v>0.74</v>
      </c>
      <c r="S144">
        <v>167.44</v>
      </c>
      <c r="T144" s="1" t="s">
        <v>33</v>
      </c>
      <c r="U144" s="1" t="s">
        <v>34</v>
      </c>
    </row>
    <row r="145" spans="1:21" ht="12" customHeight="1" x14ac:dyDescent="0.3">
      <c r="A145">
        <v>2021</v>
      </c>
      <c r="B145">
        <v>4</v>
      </c>
      <c r="C145">
        <v>30194</v>
      </c>
      <c r="D145">
        <v>32467</v>
      </c>
      <c r="E145" t="s">
        <v>21</v>
      </c>
      <c r="F145" t="s">
        <v>22</v>
      </c>
      <c r="G145">
        <v>11298</v>
      </c>
      <c r="H145">
        <v>13303</v>
      </c>
      <c r="I145" t="s">
        <v>27</v>
      </c>
      <c r="J145" t="s">
        <v>26</v>
      </c>
      <c r="K145">
        <v>1121</v>
      </c>
      <c r="L145">
        <v>490</v>
      </c>
      <c r="M145">
        <v>190.1</v>
      </c>
      <c r="N145" t="s">
        <v>28</v>
      </c>
      <c r="O145">
        <v>0.86</v>
      </c>
      <c r="P145">
        <v>191.07</v>
      </c>
      <c r="Q145" t="s">
        <v>36</v>
      </c>
      <c r="R145">
        <v>0.01</v>
      </c>
      <c r="S145">
        <v>122.31</v>
      </c>
      <c r="T145" s="1" t="s">
        <v>33</v>
      </c>
      <c r="U145" s="1" t="s">
        <v>34</v>
      </c>
    </row>
    <row r="146" spans="1:21" ht="12" customHeight="1" x14ac:dyDescent="0.3">
      <c r="A146">
        <v>2021</v>
      </c>
      <c r="B146">
        <v>4</v>
      </c>
      <c r="C146">
        <v>30194</v>
      </c>
      <c r="D146">
        <v>32467</v>
      </c>
      <c r="E146" t="s">
        <v>21</v>
      </c>
      <c r="F146" t="s">
        <v>22</v>
      </c>
      <c r="G146">
        <v>11259</v>
      </c>
      <c r="H146">
        <v>11697</v>
      </c>
      <c r="I146" t="s">
        <v>23</v>
      </c>
      <c r="J146" t="s">
        <v>24</v>
      </c>
      <c r="K146">
        <v>1121</v>
      </c>
      <c r="L146">
        <v>10</v>
      </c>
      <c r="M146">
        <v>184.06</v>
      </c>
      <c r="N146" t="s">
        <v>25</v>
      </c>
      <c r="O146">
        <v>0.44</v>
      </c>
      <c r="P146">
        <v>248.04</v>
      </c>
      <c r="Q146" t="s">
        <v>32</v>
      </c>
      <c r="R146">
        <v>0.32</v>
      </c>
      <c r="S146">
        <v>112.72</v>
      </c>
      <c r="T146" s="1" t="s">
        <v>33</v>
      </c>
      <c r="U146" s="1" t="s">
        <v>34</v>
      </c>
    </row>
    <row r="147" spans="1:21" ht="12" customHeight="1" x14ac:dyDescent="0.3">
      <c r="A147">
        <v>2021</v>
      </c>
      <c r="B147">
        <v>3</v>
      </c>
      <c r="C147">
        <v>30194</v>
      </c>
      <c r="D147">
        <v>32467</v>
      </c>
      <c r="E147" t="s">
        <v>21</v>
      </c>
      <c r="F147" t="s">
        <v>22</v>
      </c>
      <c r="G147">
        <v>11298</v>
      </c>
      <c r="H147">
        <v>13303</v>
      </c>
      <c r="I147" t="s">
        <v>27</v>
      </c>
      <c r="J147" t="s">
        <v>26</v>
      </c>
      <c r="K147">
        <v>1121</v>
      </c>
      <c r="L147">
        <v>408</v>
      </c>
      <c r="M147">
        <v>200.18</v>
      </c>
      <c r="N147" t="s">
        <v>28</v>
      </c>
      <c r="O147">
        <v>0.83</v>
      </c>
      <c r="P147">
        <v>205.25</v>
      </c>
      <c r="Q147" t="s">
        <v>36</v>
      </c>
      <c r="R147">
        <v>0.02</v>
      </c>
      <c r="S147">
        <v>106.75</v>
      </c>
      <c r="T147" s="1" t="s">
        <v>33</v>
      </c>
      <c r="U147" s="1" t="s">
        <v>34</v>
      </c>
    </row>
    <row r="148" spans="1:21" ht="12" customHeight="1" x14ac:dyDescent="0.3">
      <c r="A148">
        <v>2021</v>
      </c>
      <c r="B148">
        <v>1</v>
      </c>
      <c r="C148">
        <v>30194</v>
      </c>
      <c r="D148">
        <v>32467</v>
      </c>
      <c r="E148" t="s">
        <v>21</v>
      </c>
      <c r="F148" t="s">
        <v>22</v>
      </c>
      <c r="G148">
        <v>11259</v>
      </c>
      <c r="H148">
        <v>11697</v>
      </c>
      <c r="I148" t="s">
        <v>23</v>
      </c>
      <c r="J148" t="s">
        <v>24</v>
      </c>
      <c r="K148">
        <v>1121</v>
      </c>
      <c r="L148">
        <v>89</v>
      </c>
      <c r="M148">
        <v>218.28</v>
      </c>
      <c r="N148" t="s">
        <v>25</v>
      </c>
      <c r="O148">
        <v>0.92</v>
      </c>
      <c r="P148">
        <v>219.3</v>
      </c>
      <c r="Q148" t="s">
        <v>32</v>
      </c>
      <c r="R148">
        <v>0.03</v>
      </c>
      <c r="S148">
        <v>203.44</v>
      </c>
      <c r="T148" s="1" t="s">
        <v>33</v>
      </c>
      <c r="U148" s="1" t="s">
        <v>34</v>
      </c>
    </row>
    <row r="149" spans="1:21" ht="12" customHeight="1" x14ac:dyDescent="0.3">
      <c r="A149">
        <v>2021</v>
      </c>
      <c r="B149">
        <v>4</v>
      </c>
      <c r="C149">
        <v>30194</v>
      </c>
      <c r="D149">
        <v>32467</v>
      </c>
      <c r="E149" t="s">
        <v>21</v>
      </c>
      <c r="F149" t="s">
        <v>22</v>
      </c>
      <c r="G149">
        <v>11298</v>
      </c>
      <c r="H149">
        <v>11697</v>
      </c>
      <c r="I149" t="s">
        <v>27</v>
      </c>
      <c r="J149" t="s">
        <v>24</v>
      </c>
      <c r="K149">
        <v>1121</v>
      </c>
      <c r="L149">
        <v>744</v>
      </c>
      <c r="M149">
        <v>180.84</v>
      </c>
      <c r="N149" t="s">
        <v>28</v>
      </c>
      <c r="O149">
        <v>0.87</v>
      </c>
      <c r="P149">
        <v>179.67</v>
      </c>
      <c r="Q149" t="s">
        <v>35</v>
      </c>
      <c r="R149">
        <v>0.04</v>
      </c>
      <c r="S149">
        <v>168.51</v>
      </c>
      <c r="T149" s="1" t="s">
        <v>33</v>
      </c>
      <c r="U149" s="1" t="s">
        <v>34</v>
      </c>
    </row>
    <row r="150" spans="1:21" ht="12" customHeight="1" x14ac:dyDescent="0.3">
      <c r="A150">
        <v>2021</v>
      </c>
      <c r="B150">
        <v>1</v>
      </c>
      <c r="C150">
        <v>30194</v>
      </c>
      <c r="D150">
        <v>32467</v>
      </c>
      <c r="E150" t="s">
        <v>21</v>
      </c>
      <c r="F150" t="s">
        <v>22</v>
      </c>
      <c r="G150">
        <v>11298</v>
      </c>
      <c r="H150">
        <v>13303</v>
      </c>
      <c r="I150" t="s">
        <v>27</v>
      </c>
      <c r="J150" t="s">
        <v>26</v>
      </c>
      <c r="K150">
        <v>1121</v>
      </c>
      <c r="L150">
        <v>427</v>
      </c>
      <c r="M150">
        <v>273.13</v>
      </c>
      <c r="N150" t="s">
        <v>28</v>
      </c>
      <c r="O150">
        <v>0.87</v>
      </c>
      <c r="P150">
        <v>278</v>
      </c>
      <c r="Q150" t="s">
        <v>32</v>
      </c>
      <c r="R150">
        <v>0.03</v>
      </c>
      <c r="S150">
        <v>180.84</v>
      </c>
      <c r="T150" s="1" t="s">
        <v>33</v>
      </c>
      <c r="U150" s="1" t="s">
        <v>34</v>
      </c>
    </row>
    <row r="151" spans="1:21" ht="12" customHeight="1" x14ac:dyDescent="0.3">
      <c r="A151">
        <v>2021</v>
      </c>
      <c r="B151">
        <v>3</v>
      </c>
      <c r="C151">
        <v>30194</v>
      </c>
      <c r="D151">
        <v>32467</v>
      </c>
      <c r="E151" t="s">
        <v>21</v>
      </c>
      <c r="F151" t="s">
        <v>22</v>
      </c>
      <c r="G151">
        <v>11259</v>
      </c>
      <c r="H151">
        <v>13303</v>
      </c>
      <c r="I151" t="s">
        <v>23</v>
      </c>
      <c r="J151" t="s">
        <v>26</v>
      </c>
      <c r="K151">
        <v>1121</v>
      </c>
      <c r="L151">
        <v>6</v>
      </c>
      <c r="M151">
        <v>126.9</v>
      </c>
      <c r="N151" t="s">
        <v>31</v>
      </c>
      <c r="O151">
        <v>0.55000000000000004</v>
      </c>
      <c r="P151">
        <v>107.45</v>
      </c>
      <c r="Q151" t="s">
        <v>31</v>
      </c>
      <c r="R151">
        <v>0.55000000000000004</v>
      </c>
      <c r="S151">
        <v>107.45</v>
      </c>
      <c r="T151" s="1" t="s">
        <v>33</v>
      </c>
      <c r="U151" s="1" t="s">
        <v>34</v>
      </c>
    </row>
    <row r="152" spans="1:21" ht="12" customHeight="1" x14ac:dyDescent="0.3">
      <c r="A152">
        <v>2021</v>
      </c>
      <c r="B152">
        <v>1</v>
      </c>
      <c r="C152">
        <v>30194</v>
      </c>
      <c r="D152">
        <v>32467</v>
      </c>
      <c r="E152" t="s">
        <v>21</v>
      </c>
      <c r="F152" t="s">
        <v>22</v>
      </c>
      <c r="G152">
        <v>11259</v>
      </c>
      <c r="H152">
        <v>11697</v>
      </c>
      <c r="I152" t="s">
        <v>23</v>
      </c>
      <c r="J152" t="s">
        <v>24</v>
      </c>
      <c r="K152">
        <v>1121</v>
      </c>
      <c r="L152">
        <v>62</v>
      </c>
      <c r="M152">
        <v>181.87</v>
      </c>
      <c r="N152" t="s">
        <v>25</v>
      </c>
      <c r="O152">
        <v>0.82</v>
      </c>
      <c r="P152">
        <v>178.85</v>
      </c>
      <c r="Q152" t="s">
        <v>25</v>
      </c>
      <c r="R152">
        <v>0.82</v>
      </c>
      <c r="S152">
        <v>178.85</v>
      </c>
      <c r="T152" s="1" t="s">
        <v>33</v>
      </c>
      <c r="U152" s="1" t="s">
        <v>34</v>
      </c>
    </row>
    <row r="153" spans="1:21" ht="12" customHeight="1" x14ac:dyDescent="0.3">
      <c r="A153">
        <v>2021</v>
      </c>
      <c r="B153">
        <v>1</v>
      </c>
      <c r="C153">
        <v>30194</v>
      </c>
      <c r="D153">
        <v>32467</v>
      </c>
      <c r="E153" t="s">
        <v>21</v>
      </c>
      <c r="F153" t="s">
        <v>22</v>
      </c>
      <c r="G153">
        <v>11259</v>
      </c>
      <c r="H153">
        <v>13303</v>
      </c>
      <c r="I153" t="s">
        <v>23</v>
      </c>
      <c r="J153" t="s">
        <v>26</v>
      </c>
      <c r="K153">
        <v>1121</v>
      </c>
      <c r="L153">
        <v>11</v>
      </c>
      <c r="M153">
        <v>141.66</v>
      </c>
      <c r="N153" t="s">
        <v>32</v>
      </c>
      <c r="O153">
        <v>0.65</v>
      </c>
      <c r="P153">
        <v>141.84</v>
      </c>
      <c r="Q153" t="s">
        <v>31</v>
      </c>
      <c r="R153">
        <v>0.34</v>
      </c>
      <c r="S153">
        <v>141.33000000000001</v>
      </c>
      <c r="T153" s="1" t="s">
        <v>33</v>
      </c>
      <c r="U153" s="1" t="s">
        <v>34</v>
      </c>
    </row>
    <row r="154" spans="1:21" ht="12" customHeight="1" x14ac:dyDescent="0.3">
      <c r="A154">
        <v>2021</v>
      </c>
      <c r="B154">
        <v>1</v>
      </c>
      <c r="C154">
        <v>30194</v>
      </c>
      <c r="D154">
        <v>32467</v>
      </c>
      <c r="E154" t="s">
        <v>21</v>
      </c>
      <c r="F154" t="s">
        <v>22</v>
      </c>
      <c r="G154">
        <v>11298</v>
      </c>
      <c r="H154">
        <v>13303</v>
      </c>
      <c r="I154" t="s">
        <v>27</v>
      </c>
      <c r="J154" t="s">
        <v>26</v>
      </c>
      <c r="K154">
        <v>1121</v>
      </c>
      <c r="L154">
        <v>601</v>
      </c>
      <c r="M154">
        <v>287.81</v>
      </c>
      <c r="N154" t="s">
        <v>28</v>
      </c>
      <c r="O154">
        <v>0.87</v>
      </c>
      <c r="P154">
        <v>293.20999999999998</v>
      </c>
      <c r="Q154" t="s">
        <v>31</v>
      </c>
      <c r="R154">
        <v>0.02</v>
      </c>
      <c r="S154">
        <v>209.49</v>
      </c>
      <c r="T154" s="1" t="s">
        <v>33</v>
      </c>
      <c r="U154" s="1" t="s">
        <v>34</v>
      </c>
    </row>
    <row r="155" spans="1:21" ht="12" customHeight="1" x14ac:dyDescent="0.3">
      <c r="A155">
        <v>2021</v>
      </c>
      <c r="B155">
        <v>3</v>
      </c>
      <c r="C155">
        <v>30194</v>
      </c>
      <c r="D155">
        <v>32467</v>
      </c>
      <c r="E155" t="s">
        <v>21</v>
      </c>
      <c r="F155" t="s">
        <v>22</v>
      </c>
      <c r="G155">
        <v>11298</v>
      </c>
      <c r="H155">
        <v>11697</v>
      </c>
      <c r="I155" t="s">
        <v>27</v>
      </c>
      <c r="J155" t="s">
        <v>24</v>
      </c>
      <c r="K155">
        <v>1121</v>
      </c>
      <c r="L155">
        <v>491</v>
      </c>
      <c r="M155">
        <v>201.51</v>
      </c>
      <c r="N155" t="s">
        <v>28</v>
      </c>
      <c r="O155">
        <v>0.48</v>
      </c>
      <c r="P155">
        <v>215.98</v>
      </c>
      <c r="Q155" t="s">
        <v>31</v>
      </c>
      <c r="R155">
        <v>0.36</v>
      </c>
      <c r="S155">
        <v>189.79</v>
      </c>
      <c r="T155" s="1" t="s">
        <v>33</v>
      </c>
      <c r="U155" s="1" t="s">
        <v>34</v>
      </c>
    </row>
    <row r="156" spans="1:21" ht="12" customHeight="1" x14ac:dyDescent="0.3">
      <c r="A156">
        <v>2021</v>
      </c>
      <c r="B156">
        <v>4</v>
      </c>
      <c r="C156">
        <v>30194</v>
      </c>
      <c r="D156">
        <v>32467</v>
      </c>
      <c r="E156" t="s">
        <v>21</v>
      </c>
      <c r="F156" t="s">
        <v>22</v>
      </c>
      <c r="G156">
        <v>11259</v>
      </c>
      <c r="H156">
        <v>11697</v>
      </c>
      <c r="I156" t="s">
        <v>23</v>
      </c>
      <c r="J156" t="s">
        <v>24</v>
      </c>
      <c r="K156">
        <v>1121</v>
      </c>
      <c r="L156">
        <v>11</v>
      </c>
      <c r="M156">
        <v>215.47</v>
      </c>
      <c r="N156" t="s">
        <v>32</v>
      </c>
      <c r="O156">
        <v>0.79</v>
      </c>
      <c r="P156">
        <v>200.77</v>
      </c>
      <c r="Q156" t="s">
        <v>32</v>
      </c>
      <c r="R156">
        <v>0.79</v>
      </c>
      <c r="S156">
        <v>200.77</v>
      </c>
      <c r="T156" s="1" t="s">
        <v>33</v>
      </c>
      <c r="U156" s="1" t="s">
        <v>34</v>
      </c>
    </row>
    <row r="157" spans="1:21" ht="12" customHeight="1" x14ac:dyDescent="0.3">
      <c r="A157">
        <v>2021</v>
      </c>
      <c r="B157">
        <v>2</v>
      </c>
      <c r="C157">
        <v>30194</v>
      </c>
      <c r="D157">
        <v>32467</v>
      </c>
      <c r="E157" t="s">
        <v>21</v>
      </c>
      <c r="F157" t="s">
        <v>22</v>
      </c>
      <c r="G157">
        <v>11259</v>
      </c>
      <c r="H157">
        <v>13303</v>
      </c>
      <c r="I157" t="s">
        <v>23</v>
      </c>
      <c r="J157" t="s">
        <v>26</v>
      </c>
      <c r="K157">
        <v>1121</v>
      </c>
      <c r="L157">
        <v>5</v>
      </c>
      <c r="M157">
        <v>196.19</v>
      </c>
      <c r="N157" t="s">
        <v>37</v>
      </c>
      <c r="O157">
        <v>0.82</v>
      </c>
      <c r="P157">
        <v>198.47</v>
      </c>
      <c r="Q157" t="s">
        <v>31</v>
      </c>
      <c r="R157">
        <v>0.06</v>
      </c>
      <c r="S157">
        <v>125.1</v>
      </c>
      <c r="T157" s="1" t="s">
        <v>33</v>
      </c>
      <c r="U157" s="1" t="s">
        <v>34</v>
      </c>
    </row>
    <row r="158" spans="1:21" ht="12" customHeight="1" x14ac:dyDescent="0.3">
      <c r="A158">
        <v>2021</v>
      </c>
      <c r="B158">
        <v>1</v>
      </c>
      <c r="C158">
        <v>30194</v>
      </c>
      <c r="D158">
        <v>32467</v>
      </c>
      <c r="E158" t="s">
        <v>21</v>
      </c>
      <c r="F158" t="s">
        <v>22</v>
      </c>
      <c r="G158">
        <v>11298</v>
      </c>
      <c r="H158">
        <v>13303</v>
      </c>
      <c r="I158" t="s">
        <v>27</v>
      </c>
      <c r="J158" t="s">
        <v>26</v>
      </c>
      <c r="K158">
        <v>1121</v>
      </c>
      <c r="L158">
        <v>570</v>
      </c>
      <c r="M158">
        <v>197.71</v>
      </c>
      <c r="N158" t="s">
        <v>28</v>
      </c>
      <c r="O158">
        <v>0.91</v>
      </c>
      <c r="P158">
        <v>197.04</v>
      </c>
      <c r="Q158" t="s">
        <v>35</v>
      </c>
      <c r="R158">
        <v>0.01</v>
      </c>
      <c r="S158">
        <v>177.97</v>
      </c>
      <c r="T158" s="1" t="s">
        <v>33</v>
      </c>
      <c r="U158" s="1" t="s">
        <v>34</v>
      </c>
    </row>
    <row r="159" spans="1:21" ht="12" customHeight="1" x14ac:dyDescent="0.3">
      <c r="A159">
        <v>2021</v>
      </c>
      <c r="B159">
        <v>2</v>
      </c>
      <c r="C159">
        <v>30194</v>
      </c>
      <c r="D159">
        <v>32467</v>
      </c>
      <c r="E159" t="s">
        <v>21</v>
      </c>
      <c r="F159" t="s">
        <v>22</v>
      </c>
      <c r="G159">
        <v>11298</v>
      </c>
      <c r="H159">
        <v>13303</v>
      </c>
      <c r="I159" t="s">
        <v>27</v>
      </c>
      <c r="J159" t="s">
        <v>26</v>
      </c>
      <c r="K159">
        <v>1121</v>
      </c>
      <c r="L159">
        <v>501</v>
      </c>
      <c r="M159">
        <v>236.14</v>
      </c>
      <c r="N159" t="s">
        <v>28</v>
      </c>
      <c r="O159">
        <v>0.81</v>
      </c>
      <c r="P159">
        <v>245.01</v>
      </c>
      <c r="Q159" t="s">
        <v>38</v>
      </c>
      <c r="R159">
        <v>0.01</v>
      </c>
      <c r="S159">
        <v>102.79</v>
      </c>
      <c r="T159" s="1" t="s">
        <v>33</v>
      </c>
      <c r="U159" s="1" t="s">
        <v>34</v>
      </c>
    </row>
    <row r="160" spans="1:21" ht="12" customHeight="1" x14ac:dyDescent="0.3">
      <c r="A160">
        <v>2021</v>
      </c>
      <c r="B160">
        <v>3</v>
      </c>
      <c r="C160">
        <v>30194</v>
      </c>
      <c r="D160">
        <v>32467</v>
      </c>
      <c r="E160" t="s">
        <v>21</v>
      </c>
      <c r="F160" t="s">
        <v>22</v>
      </c>
      <c r="G160">
        <v>11298</v>
      </c>
      <c r="H160">
        <v>13303</v>
      </c>
      <c r="I160" t="s">
        <v>27</v>
      </c>
      <c r="J160" t="s">
        <v>26</v>
      </c>
      <c r="K160">
        <v>1121</v>
      </c>
      <c r="L160">
        <v>440</v>
      </c>
      <c r="M160">
        <v>204.53</v>
      </c>
      <c r="N160" t="s">
        <v>28</v>
      </c>
      <c r="O160">
        <v>0.75</v>
      </c>
      <c r="P160">
        <v>216.08</v>
      </c>
      <c r="Q160" t="s">
        <v>37</v>
      </c>
      <c r="R160">
        <v>0.02</v>
      </c>
      <c r="S160">
        <v>100.09</v>
      </c>
      <c r="T160" s="1" t="s">
        <v>33</v>
      </c>
      <c r="U160" s="1" t="s">
        <v>34</v>
      </c>
    </row>
    <row r="161" spans="1:21" ht="12" customHeight="1" x14ac:dyDescent="0.3">
      <c r="A161">
        <v>2021</v>
      </c>
      <c r="B161">
        <v>4</v>
      </c>
      <c r="C161">
        <v>30194</v>
      </c>
      <c r="D161">
        <v>32467</v>
      </c>
      <c r="E161" t="s">
        <v>21</v>
      </c>
      <c r="F161" t="s">
        <v>22</v>
      </c>
      <c r="G161">
        <v>11298</v>
      </c>
      <c r="H161">
        <v>11697</v>
      </c>
      <c r="I161" t="s">
        <v>27</v>
      </c>
      <c r="J161" t="s">
        <v>24</v>
      </c>
      <c r="K161">
        <v>1121</v>
      </c>
      <c r="L161">
        <v>489</v>
      </c>
      <c r="M161">
        <v>215.16</v>
      </c>
      <c r="N161" t="s">
        <v>28</v>
      </c>
      <c r="O161">
        <v>0.49</v>
      </c>
      <c r="P161">
        <v>226.17</v>
      </c>
      <c r="Q161" t="s">
        <v>31</v>
      </c>
      <c r="R161">
        <v>0.35</v>
      </c>
      <c r="S161">
        <v>202.9</v>
      </c>
      <c r="T161" s="1" t="s">
        <v>33</v>
      </c>
      <c r="U161" s="1" t="s">
        <v>34</v>
      </c>
    </row>
    <row r="162" spans="1:21" ht="12" customHeight="1" x14ac:dyDescent="0.3">
      <c r="A162">
        <v>2021</v>
      </c>
      <c r="B162">
        <v>3</v>
      </c>
      <c r="C162">
        <v>30194</v>
      </c>
      <c r="D162">
        <v>32467</v>
      </c>
      <c r="E162" t="s">
        <v>21</v>
      </c>
      <c r="F162" t="s">
        <v>22</v>
      </c>
      <c r="G162">
        <v>11298</v>
      </c>
      <c r="H162">
        <v>13303</v>
      </c>
      <c r="I162" t="s">
        <v>27</v>
      </c>
      <c r="J162" t="s">
        <v>26</v>
      </c>
      <c r="K162">
        <v>1121</v>
      </c>
      <c r="L162">
        <v>406</v>
      </c>
      <c r="M162">
        <v>234.82</v>
      </c>
      <c r="N162" t="s">
        <v>28</v>
      </c>
      <c r="O162">
        <v>0.82</v>
      </c>
      <c r="P162">
        <v>244.42</v>
      </c>
      <c r="Q162" t="s">
        <v>32</v>
      </c>
      <c r="R162">
        <v>0.03</v>
      </c>
      <c r="S162">
        <v>152.04</v>
      </c>
      <c r="T162" s="1" t="s">
        <v>33</v>
      </c>
      <c r="U162" s="1" t="s">
        <v>34</v>
      </c>
    </row>
    <row r="163" spans="1:21" ht="12" customHeight="1" x14ac:dyDescent="0.3">
      <c r="A163">
        <v>2021</v>
      </c>
      <c r="B163">
        <v>2</v>
      </c>
      <c r="C163">
        <v>30194</v>
      </c>
      <c r="D163">
        <v>32467</v>
      </c>
      <c r="E163" t="s">
        <v>21</v>
      </c>
      <c r="F163" t="s">
        <v>22</v>
      </c>
      <c r="G163">
        <v>11259</v>
      </c>
      <c r="H163">
        <v>11697</v>
      </c>
      <c r="I163" t="s">
        <v>23</v>
      </c>
      <c r="J163" t="s">
        <v>24</v>
      </c>
      <c r="K163">
        <v>1121</v>
      </c>
      <c r="L163">
        <v>12</v>
      </c>
      <c r="M163">
        <v>228.02</v>
      </c>
      <c r="N163" t="s">
        <v>25</v>
      </c>
      <c r="O163">
        <v>0.39</v>
      </c>
      <c r="P163">
        <v>300.76</v>
      </c>
      <c r="Q163" t="s">
        <v>32</v>
      </c>
      <c r="R163">
        <v>0.3</v>
      </c>
      <c r="S163">
        <v>169.52</v>
      </c>
      <c r="T163" s="1" t="s">
        <v>33</v>
      </c>
      <c r="U163" s="1" t="s">
        <v>34</v>
      </c>
    </row>
    <row r="164" spans="1:21" ht="12" customHeight="1" x14ac:dyDescent="0.3">
      <c r="A164">
        <v>2021</v>
      </c>
      <c r="B164">
        <v>2</v>
      </c>
      <c r="C164">
        <v>30194</v>
      </c>
      <c r="D164">
        <v>32467</v>
      </c>
      <c r="E164" t="s">
        <v>21</v>
      </c>
      <c r="F164" t="s">
        <v>22</v>
      </c>
      <c r="G164">
        <v>11259</v>
      </c>
      <c r="H164">
        <v>13303</v>
      </c>
      <c r="I164" t="s">
        <v>23</v>
      </c>
      <c r="J164" t="s">
        <v>26</v>
      </c>
      <c r="K164">
        <v>1121</v>
      </c>
      <c r="L164">
        <v>4</v>
      </c>
      <c r="M164">
        <v>212.32</v>
      </c>
      <c r="N164" t="s">
        <v>32</v>
      </c>
      <c r="O164">
        <v>0.93</v>
      </c>
      <c r="P164">
        <v>214.49</v>
      </c>
      <c r="Q164" t="s">
        <v>32</v>
      </c>
      <c r="R164">
        <v>0.93</v>
      </c>
      <c r="S164">
        <v>214.49</v>
      </c>
      <c r="T164" s="1" t="s">
        <v>33</v>
      </c>
      <c r="U164" s="1" t="s">
        <v>34</v>
      </c>
    </row>
    <row r="165" spans="1:21" ht="12" customHeight="1" x14ac:dyDescent="0.3">
      <c r="A165">
        <v>2021</v>
      </c>
      <c r="B165">
        <v>2</v>
      </c>
      <c r="C165">
        <v>30194</v>
      </c>
      <c r="D165">
        <v>32467</v>
      </c>
      <c r="E165" t="s">
        <v>21</v>
      </c>
      <c r="F165" t="s">
        <v>22</v>
      </c>
      <c r="G165">
        <v>11298</v>
      </c>
      <c r="H165">
        <v>13303</v>
      </c>
      <c r="I165" t="s">
        <v>27</v>
      </c>
      <c r="J165" t="s">
        <v>26</v>
      </c>
      <c r="K165">
        <v>1121</v>
      </c>
      <c r="L165">
        <v>459</v>
      </c>
      <c r="M165">
        <v>194.7</v>
      </c>
      <c r="N165" t="s">
        <v>28</v>
      </c>
      <c r="O165">
        <v>0.72</v>
      </c>
      <c r="P165">
        <v>200.28</v>
      </c>
      <c r="Q165" t="s">
        <v>31</v>
      </c>
      <c r="R165">
        <v>0.16</v>
      </c>
      <c r="S165">
        <v>166.55</v>
      </c>
      <c r="T165" s="1" t="s">
        <v>33</v>
      </c>
      <c r="U165" s="1" t="s">
        <v>34</v>
      </c>
    </row>
    <row r="166" spans="1:21" ht="12" customHeight="1" x14ac:dyDescent="0.3">
      <c r="A166">
        <v>2021</v>
      </c>
      <c r="B166">
        <v>2</v>
      </c>
      <c r="C166">
        <v>30194</v>
      </c>
      <c r="D166">
        <v>32467</v>
      </c>
      <c r="E166" t="s">
        <v>21</v>
      </c>
      <c r="F166" t="s">
        <v>22</v>
      </c>
      <c r="G166">
        <v>11298</v>
      </c>
      <c r="H166">
        <v>11697</v>
      </c>
      <c r="I166" t="s">
        <v>27</v>
      </c>
      <c r="J166" t="s">
        <v>24</v>
      </c>
      <c r="K166">
        <v>1121</v>
      </c>
      <c r="L166">
        <v>818</v>
      </c>
      <c r="M166">
        <v>178.16</v>
      </c>
      <c r="N166" t="s">
        <v>28</v>
      </c>
      <c r="O166">
        <v>0.69</v>
      </c>
      <c r="P166">
        <v>191.03</v>
      </c>
      <c r="Q166" t="s">
        <v>29</v>
      </c>
      <c r="R166">
        <v>0.2</v>
      </c>
      <c r="S166">
        <v>117.84</v>
      </c>
      <c r="T166" s="1" t="s">
        <v>33</v>
      </c>
      <c r="U166" s="1" t="s">
        <v>34</v>
      </c>
    </row>
    <row r="167" spans="1:21" ht="12" customHeight="1" x14ac:dyDescent="0.3">
      <c r="A167">
        <v>2021</v>
      </c>
      <c r="B167">
        <v>2</v>
      </c>
      <c r="C167">
        <v>30194</v>
      </c>
      <c r="D167">
        <v>32467</v>
      </c>
      <c r="E167" t="s">
        <v>21</v>
      </c>
      <c r="F167" t="s">
        <v>22</v>
      </c>
      <c r="G167">
        <v>11298</v>
      </c>
      <c r="H167">
        <v>11697</v>
      </c>
      <c r="I167" t="s">
        <v>27</v>
      </c>
      <c r="J167" t="s">
        <v>24</v>
      </c>
      <c r="K167">
        <v>1121</v>
      </c>
      <c r="L167">
        <v>888</v>
      </c>
      <c r="M167">
        <v>188.8</v>
      </c>
      <c r="N167" t="s">
        <v>28</v>
      </c>
      <c r="O167">
        <v>0.56999999999999995</v>
      </c>
      <c r="P167">
        <v>222.14</v>
      </c>
      <c r="Q167" t="s">
        <v>29</v>
      </c>
      <c r="R167">
        <v>0.34</v>
      </c>
      <c r="S167">
        <v>116.54</v>
      </c>
      <c r="T167" s="1" t="s">
        <v>33</v>
      </c>
      <c r="U167" s="1" t="s">
        <v>34</v>
      </c>
    </row>
    <row r="168" spans="1:21" ht="12" customHeight="1" x14ac:dyDescent="0.3">
      <c r="A168">
        <v>2021</v>
      </c>
      <c r="B168">
        <v>3</v>
      </c>
      <c r="C168">
        <v>30194</v>
      </c>
      <c r="D168">
        <v>32467</v>
      </c>
      <c r="E168" t="s">
        <v>21</v>
      </c>
      <c r="F168" t="s">
        <v>22</v>
      </c>
      <c r="G168">
        <v>11298</v>
      </c>
      <c r="H168">
        <v>11697</v>
      </c>
      <c r="I168" t="s">
        <v>27</v>
      </c>
      <c r="J168" t="s">
        <v>24</v>
      </c>
      <c r="K168">
        <v>1121</v>
      </c>
      <c r="L168">
        <v>539</v>
      </c>
      <c r="M168">
        <v>171.55</v>
      </c>
      <c r="N168" t="s">
        <v>28</v>
      </c>
      <c r="O168">
        <v>0.43</v>
      </c>
      <c r="P168">
        <v>186.25</v>
      </c>
      <c r="Q168" t="s">
        <v>31</v>
      </c>
      <c r="R168">
        <v>0.41</v>
      </c>
      <c r="S168">
        <v>160.94</v>
      </c>
      <c r="T168" s="1" t="s">
        <v>33</v>
      </c>
      <c r="U168" s="1" t="s">
        <v>34</v>
      </c>
    </row>
    <row r="169" spans="1:21" ht="12" customHeight="1" x14ac:dyDescent="0.3">
      <c r="A169">
        <v>2021</v>
      </c>
      <c r="B169">
        <v>1</v>
      </c>
      <c r="C169">
        <v>30194</v>
      </c>
      <c r="D169">
        <v>32467</v>
      </c>
      <c r="E169" t="s">
        <v>21</v>
      </c>
      <c r="F169" t="s">
        <v>22</v>
      </c>
      <c r="G169">
        <v>11259</v>
      </c>
      <c r="H169">
        <v>11697</v>
      </c>
      <c r="I169" t="s">
        <v>23</v>
      </c>
      <c r="J169" t="s">
        <v>24</v>
      </c>
      <c r="K169">
        <v>1121</v>
      </c>
      <c r="L169">
        <v>384</v>
      </c>
      <c r="M169">
        <v>209.15</v>
      </c>
      <c r="N169" t="s">
        <v>25</v>
      </c>
      <c r="O169">
        <v>0.97889999999999999</v>
      </c>
      <c r="P169">
        <v>207.5</v>
      </c>
      <c r="Q169" t="s">
        <v>25</v>
      </c>
      <c r="R169">
        <v>0.97889999999999999</v>
      </c>
      <c r="S169">
        <v>207.5</v>
      </c>
    </row>
    <row r="170" spans="1:21" ht="12" customHeight="1" x14ac:dyDescent="0.3">
      <c r="A170">
        <v>2021</v>
      </c>
      <c r="B170">
        <v>2</v>
      </c>
      <c r="C170">
        <v>30194</v>
      </c>
      <c r="D170">
        <v>32467</v>
      </c>
      <c r="E170" t="s">
        <v>21</v>
      </c>
      <c r="F170" t="s">
        <v>22</v>
      </c>
      <c r="G170">
        <v>11298</v>
      </c>
      <c r="H170">
        <v>13303</v>
      </c>
      <c r="I170" t="s">
        <v>27</v>
      </c>
      <c r="J170" t="s">
        <v>26</v>
      </c>
      <c r="K170">
        <v>1121</v>
      </c>
      <c r="L170">
        <v>511</v>
      </c>
      <c r="M170">
        <v>206.39</v>
      </c>
      <c r="N170" t="s">
        <v>28</v>
      </c>
      <c r="O170">
        <v>0.85</v>
      </c>
      <c r="P170">
        <v>207.49</v>
      </c>
      <c r="Q170" t="s">
        <v>38</v>
      </c>
      <c r="R170">
        <v>0.01</v>
      </c>
      <c r="S170">
        <v>132.68</v>
      </c>
      <c r="T170" s="1" t="s">
        <v>33</v>
      </c>
      <c r="U170" s="1" t="s">
        <v>34</v>
      </c>
    </row>
    <row r="171" spans="1:21" ht="12" customHeight="1" x14ac:dyDescent="0.3">
      <c r="A171">
        <v>2021</v>
      </c>
      <c r="B171">
        <v>3</v>
      </c>
      <c r="C171">
        <v>30194</v>
      </c>
      <c r="D171">
        <v>32467</v>
      </c>
      <c r="E171" t="s">
        <v>21</v>
      </c>
      <c r="F171" t="s">
        <v>22</v>
      </c>
      <c r="G171">
        <v>11298</v>
      </c>
      <c r="H171">
        <v>11697</v>
      </c>
      <c r="I171" t="s">
        <v>27</v>
      </c>
      <c r="J171" t="s">
        <v>24</v>
      </c>
      <c r="K171">
        <v>1121</v>
      </c>
      <c r="L171">
        <v>847</v>
      </c>
      <c r="M171">
        <v>182.76</v>
      </c>
      <c r="N171" t="s">
        <v>28</v>
      </c>
      <c r="O171">
        <v>0.53</v>
      </c>
      <c r="P171">
        <v>217.73</v>
      </c>
      <c r="Q171" t="s">
        <v>29</v>
      </c>
      <c r="R171">
        <v>0.37</v>
      </c>
      <c r="S171">
        <v>118.28</v>
      </c>
      <c r="T171" s="1" t="s">
        <v>33</v>
      </c>
      <c r="U171" s="1" t="s">
        <v>34</v>
      </c>
    </row>
    <row r="172" spans="1:21" ht="12" customHeight="1" x14ac:dyDescent="0.3">
      <c r="A172">
        <v>2021</v>
      </c>
      <c r="B172">
        <v>4</v>
      </c>
      <c r="C172">
        <v>30194</v>
      </c>
      <c r="D172">
        <v>32467</v>
      </c>
      <c r="E172" t="s">
        <v>21</v>
      </c>
      <c r="F172" t="s">
        <v>22</v>
      </c>
      <c r="G172">
        <v>11259</v>
      </c>
      <c r="H172">
        <v>11697</v>
      </c>
      <c r="I172" t="s">
        <v>23</v>
      </c>
      <c r="J172" t="s">
        <v>24</v>
      </c>
      <c r="K172">
        <v>1121</v>
      </c>
      <c r="L172">
        <v>11</v>
      </c>
      <c r="M172">
        <v>224.1</v>
      </c>
      <c r="N172" t="s">
        <v>32</v>
      </c>
      <c r="O172">
        <v>0.69</v>
      </c>
      <c r="P172">
        <v>191.02</v>
      </c>
      <c r="Q172" t="s">
        <v>32</v>
      </c>
      <c r="R172">
        <v>0.69</v>
      </c>
      <c r="S172">
        <v>191.02</v>
      </c>
      <c r="T172" s="1" t="s">
        <v>33</v>
      </c>
      <c r="U172" s="1" t="s">
        <v>34</v>
      </c>
    </row>
    <row r="173" spans="1:21" ht="12" customHeight="1" x14ac:dyDescent="0.3">
      <c r="A173">
        <v>2021</v>
      </c>
      <c r="B173">
        <v>3</v>
      </c>
      <c r="C173">
        <v>30194</v>
      </c>
      <c r="D173">
        <v>32467</v>
      </c>
      <c r="E173" t="s">
        <v>21</v>
      </c>
      <c r="F173" t="s">
        <v>22</v>
      </c>
      <c r="G173">
        <v>11298</v>
      </c>
      <c r="H173">
        <v>11697</v>
      </c>
      <c r="I173" t="s">
        <v>27</v>
      </c>
      <c r="J173" t="s">
        <v>24</v>
      </c>
      <c r="K173">
        <v>1121</v>
      </c>
      <c r="L173">
        <v>745</v>
      </c>
      <c r="M173">
        <v>176.11</v>
      </c>
      <c r="N173" t="s">
        <v>28</v>
      </c>
      <c r="O173">
        <v>0.86</v>
      </c>
      <c r="P173">
        <v>176.82</v>
      </c>
      <c r="Q173" t="s">
        <v>29</v>
      </c>
      <c r="R173">
        <v>0.03</v>
      </c>
      <c r="S173">
        <v>127.95</v>
      </c>
      <c r="T173" s="1" t="s">
        <v>33</v>
      </c>
      <c r="U173" s="1" t="s">
        <v>34</v>
      </c>
    </row>
    <row r="174" spans="1:21" ht="12" customHeight="1" x14ac:dyDescent="0.3">
      <c r="A174">
        <v>2021</v>
      </c>
      <c r="B174">
        <v>1</v>
      </c>
      <c r="C174">
        <v>30194</v>
      </c>
      <c r="D174">
        <v>32467</v>
      </c>
      <c r="E174" t="s">
        <v>21</v>
      </c>
      <c r="F174" t="s">
        <v>22</v>
      </c>
      <c r="G174">
        <v>11259</v>
      </c>
      <c r="H174">
        <v>13303</v>
      </c>
      <c r="I174" t="s">
        <v>23</v>
      </c>
      <c r="J174" t="s">
        <v>26</v>
      </c>
      <c r="K174">
        <v>1121</v>
      </c>
      <c r="L174">
        <v>7</v>
      </c>
      <c r="M174">
        <v>223.52</v>
      </c>
      <c r="N174" t="s">
        <v>31</v>
      </c>
      <c r="O174">
        <v>0.72</v>
      </c>
      <c r="P174">
        <v>179.54</v>
      </c>
      <c r="Q174" t="s">
        <v>31</v>
      </c>
      <c r="R174">
        <v>0.72</v>
      </c>
      <c r="S174">
        <v>179.54</v>
      </c>
      <c r="T174" s="1" t="s">
        <v>33</v>
      </c>
      <c r="U174" s="1" t="s">
        <v>34</v>
      </c>
    </row>
    <row r="175" spans="1:21" ht="12" customHeight="1" x14ac:dyDescent="0.3">
      <c r="A175">
        <v>2021</v>
      </c>
      <c r="B175">
        <v>2</v>
      </c>
      <c r="C175">
        <v>30194</v>
      </c>
      <c r="D175">
        <v>32467</v>
      </c>
      <c r="E175" t="s">
        <v>21</v>
      </c>
      <c r="F175" t="s">
        <v>22</v>
      </c>
      <c r="G175">
        <v>11259</v>
      </c>
      <c r="H175">
        <v>13303</v>
      </c>
      <c r="I175" t="s">
        <v>23</v>
      </c>
      <c r="J175" t="s">
        <v>26</v>
      </c>
      <c r="K175">
        <v>1121</v>
      </c>
      <c r="L175">
        <v>0</v>
      </c>
      <c r="M175">
        <v>215.1</v>
      </c>
      <c r="N175" t="s">
        <v>32</v>
      </c>
      <c r="O175">
        <v>1</v>
      </c>
      <c r="P175">
        <v>215.1</v>
      </c>
      <c r="Q175" t="s">
        <v>32</v>
      </c>
      <c r="R175">
        <v>1</v>
      </c>
      <c r="S175">
        <v>215.1</v>
      </c>
      <c r="T175" s="1" t="s">
        <v>33</v>
      </c>
      <c r="U175" s="1" t="s">
        <v>34</v>
      </c>
    </row>
    <row r="176" spans="1:21" ht="12" customHeight="1" x14ac:dyDescent="0.3">
      <c r="A176">
        <v>2021</v>
      </c>
      <c r="B176">
        <v>1</v>
      </c>
      <c r="C176">
        <v>30194</v>
      </c>
      <c r="D176">
        <v>32467</v>
      </c>
      <c r="E176" t="s">
        <v>21</v>
      </c>
      <c r="F176" t="s">
        <v>22</v>
      </c>
      <c r="G176">
        <v>11259</v>
      </c>
      <c r="H176">
        <v>13303</v>
      </c>
      <c r="I176" t="s">
        <v>23</v>
      </c>
      <c r="J176" t="s">
        <v>26</v>
      </c>
      <c r="K176">
        <v>1121</v>
      </c>
      <c r="L176">
        <v>4</v>
      </c>
      <c r="M176">
        <v>277.70999999999998</v>
      </c>
      <c r="N176" t="s">
        <v>31</v>
      </c>
      <c r="O176">
        <v>1</v>
      </c>
      <c r="P176">
        <v>277.70999999999998</v>
      </c>
      <c r="Q176" t="s">
        <v>31</v>
      </c>
      <c r="R176">
        <v>1</v>
      </c>
      <c r="S176">
        <v>277.70999999999998</v>
      </c>
    </row>
    <row r="177" spans="1:21" ht="12" customHeight="1" x14ac:dyDescent="0.3">
      <c r="A177">
        <v>2021</v>
      </c>
      <c r="B177">
        <v>4</v>
      </c>
      <c r="C177">
        <v>30194</v>
      </c>
      <c r="D177">
        <v>32467</v>
      </c>
      <c r="E177" t="s">
        <v>21</v>
      </c>
      <c r="F177" t="s">
        <v>22</v>
      </c>
      <c r="G177">
        <v>11298</v>
      </c>
      <c r="H177">
        <v>11697</v>
      </c>
      <c r="I177" t="s">
        <v>27</v>
      </c>
      <c r="J177" t="s">
        <v>24</v>
      </c>
      <c r="K177">
        <v>1121</v>
      </c>
      <c r="L177">
        <v>507</v>
      </c>
      <c r="M177">
        <v>174.53</v>
      </c>
      <c r="N177" t="s">
        <v>28</v>
      </c>
      <c r="O177">
        <v>0.5</v>
      </c>
      <c r="P177">
        <v>174.83</v>
      </c>
      <c r="Q177" t="s">
        <v>28</v>
      </c>
      <c r="R177">
        <v>0.5</v>
      </c>
      <c r="S177">
        <v>174.83</v>
      </c>
      <c r="T177" s="1" t="s">
        <v>33</v>
      </c>
      <c r="U177" s="1" t="s">
        <v>34</v>
      </c>
    </row>
    <row r="178" spans="1:21" ht="12" customHeight="1" x14ac:dyDescent="0.3">
      <c r="A178">
        <v>2021</v>
      </c>
      <c r="B178">
        <v>1</v>
      </c>
      <c r="C178">
        <v>30194</v>
      </c>
      <c r="D178">
        <v>32467</v>
      </c>
      <c r="E178" t="s">
        <v>21</v>
      </c>
      <c r="F178" t="s">
        <v>22</v>
      </c>
      <c r="G178">
        <v>11298</v>
      </c>
      <c r="H178">
        <v>11697</v>
      </c>
      <c r="I178" t="s">
        <v>27</v>
      </c>
      <c r="J178" t="s">
        <v>24</v>
      </c>
      <c r="K178">
        <v>1121</v>
      </c>
      <c r="L178">
        <v>284</v>
      </c>
      <c r="M178">
        <v>285.49</v>
      </c>
      <c r="N178" t="s">
        <v>28</v>
      </c>
      <c r="O178">
        <v>0.45</v>
      </c>
      <c r="P178">
        <v>294.8</v>
      </c>
      <c r="Q178" t="s">
        <v>31</v>
      </c>
      <c r="R178">
        <v>0.39</v>
      </c>
      <c r="S178">
        <v>294.68</v>
      </c>
      <c r="T178" s="1" t="s">
        <v>33</v>
      </c>
      <c r="U178" s="1" t="s">
        <v>34</v>
      </c>
    </row>
    <row r="179" spans="1:21" ht="12" customHeight="1" x14ac:dyDescent="0.3">
      <c r="A179">
        <v>2021</v>
      </c>
      <c r="B179">
        <v>3</v>
      </c>
      <c r="C179">
        <v>30194</v>
      </c>
      <c r="D179">
        <v>32467</v>
      </c>
      <c r="E179" t="s">
        <v>21</v>
      </c>
      <c r="F179" t="s">
        <v>22</v>
      </c>
      <c r="G179">
        <v>11298</v>
      </c>
      <c r="H179">
        <v>13303</v>
      </c>
      <c r="I179" t="s">
        <v>27</v>
      </c>
      <c r="J179" t="s">
        <v>26</v>
      </c>
      <c r="K179">
        <v>1121</v>
      </c>
      <c r="L179">
        <v>420</v>
      </c>
      <c r="M179">
        <v>217.94</v>
      </c>
      <c r="N179" t="s">
        <v>28</v>
      </c>
      <c r="O179">
        <v>0.65</v>
      </c>
      <c r="P179">
        <v>228.69</v>
      </c>
      <c r="Q179" t="s">
        <v>31</v>
      </c>
      <c r="R179">
        <v>0.23</v>
      </c>
      <c r="S179">
        <v>188.76</v>
      </c>
      <c r="T179" s="1" t="s">
        <v>33</v>
      </c>
      <c r="U179" s="1" t="s">
        <v>34</v>
      </c>
    </row>
    <row r="180" spans="1:21" ht="12" customHeight="1" x14ac:dyDescent="0.3">
      <c r="A180">
        <v>2021</v>
      </c>
      <c r="B180">
        <v>4</v>
      </c>
      <c r="C180">
        <v>30194</v>
      </c>
      <c r="D180">
        <v>32467</v>
      </c>
      <c r="E180" t="s">
        <v>21</v>
      </c>
      <c r="F180" t="s">
        <v>22</v>
      </c>
      <c r="G180">
        <v>11259</v>
      </c>
      <c r="H180">
        <v>13303</v>
      </c>
      <c r="I180" t="s">
        <v>23</v>
      </c>
      <c r="J180" t="s">
        <v>26</v>
      </c>
      <c r="K180">
        <v>1121</v>
      </c>
      <c r="L180">
        <v>6</v>
      </c>
      <c r="M180">
        <v>186.68</v>
      </c>
      <c r="N180" t="s">
        <v>32</v>
      </c>
      <c r="O180">
        <v>0.92</v>
      </c>
      <c r="P180">
        <v>176.42</v>
      </c>
      <c r="Q180" t="s">
        <v>32</v>
      </c>
      <c r="R180">
        <v>0.92</v>
      </c>
      <c r="S180">
        <v>176.42</v>
      </c>
      <c r="T180" s="1" t="s">
        <v>33</v>
      </c>
      <c r="U180" s="1" t="s">
        <v>34</v>
      </c>
    </row>
    <row r="181" spans="1:21" ht="12" customHeight="1" x14ac:dyDescent="0.3">
      <c r="A181">
        <v>2021</v>
      </c>
      <c r="B181">
        <v>2</v>
      </c>
      <c r="C181">
        <v>30194</v>
      </c>
      <c r="D181">
        <v>32467</v>
      </c>
      <c r="E181" t="s">
        <v>21</v>
      </c>
      <c r="F181" t="s">
        <v>22</v>
      </c>
      <c r="G181">
        <v>11298</v>
      </c>
      <c r="H181">
        <v>13303</v>
      </c>
      <c r="I181" t="s">
        <v>27</v>
      </c>
      <c r="J181" t="s">
        <v>26</v>
      </c>
      <c r="K181">
        <v>1121</v>
      </c>
      <c r="L181">
        <v>496</v>
      </c>
      <c r="M181">
        <v>251.84</v>
      </c>
      <c r="N181" t="s">
        <v>28</v>
      </c>
      <c r="O181">
        <v>0.73</v>
      </c>
      <c r="P181">
        <v>275.72000000000003</v>
      </c>
      <c r="Q181" t="s">
        <v>36</v>
      </c>
      <c r="R181">
        <v>0.01</v>
      </c>
      <c r="S181">
        <v>111.5</v>
      </c>
      <c r="T181" s="1" t="s">
        <v>33</v>
      </c>
      <c r="U181" s="1" t="s">
        <v>34</v>
      </c>
    </row>
    <row r="182" spans="1:21" ht="12" customHeight="1" x14ac:dyDescent="0.3">
      <c r="A182">
        <v>2021</v>
      </c>
      <c r="B182">
        <v>1</v>
      </c>
      <c r="C182">
        <v>30194</v>
      </c>
      <c r="D182">
        <v>32467</v>
      </c>
      <c r="E182" t="s">
        <v>21</v>
      </c>
      <c r="F182" t="s">
        <v>22</v>
      </c>
      <c r="G182">
        <v>11298</v>
      </c>
      <c r="H182">
        <v>11697</v>
      </c>
      <c r="I182" t="s">
        <v>27</v>
      </c>
      <c r="J182" t="s">
        <v>24</v>
      </c>
      <c r="K182">
        <v>1121</v>
      </c>
      <c r="L182">
        <v>822</v>
      </c>
      <c r="M182">
        <v>164.7</v>
      </c>
      <c r="N182" t="s">
        <v>28</v>
      </c>
      <c r="O182">
        <v>0.78</v>
      </c>
      <c r="P182">
        <v>167.65</v>
      </c>
      <c r="Q182" t="s">
        <v>29</v>
      </c>
      <c r="R182">
        <v>0.12</v>
      </c>
      <c r="S182">
        <v>119.18</v>
      </c>
      <c r="T182" s="1" t="s">
        <v>33</v>
      </c>
      <c r="U182" s="1" t="s">
        <v>34</v>
      </c>
    </row>
    <row r="183" spans="1:21" ht="12" customHeight="1" x14ac:dyDescent="0.3">
      <c r="A183">
        <v>2021</v>
      </c>
      <c r="B183">
        <v>2</v>
      </c>
      <c r="C183">
        <v>30194</v>
      </c>
      <c r="D183">
        <v>32467</v>
      </c>
      <c r="E183" t="s">
        <v>21</v>
      </c>
      <c r="F183" t="s">
        <v>22</v>
      </c>
      <c r="G183">
        <v>11298</v>
      </c>
      <c r="H183">
        <v>13303</v>
      </c>
      <c r="I183" t="s">
        <v>27</v>
      </c>
      <c r="J183" t="s">
        <v>26</v>
      </c>
      <c r="K183">
        <v>1121</v>
      </c>
      <c r="L183">
        <v>600</v>
      </c>
      <c r="M183">
        <v>189.78</v>
      </c>
      <c r="N183" t="s">
        <v>28</v>
      </c>
      <c r="O183">
        <v>0.92</v>
      </c>
      <c r="P183">
        <v>190.33</v>
      </c>
      <c r="Q183" t="s">
        <v>31</v>
      </c>
      <c r="R183">
        <v>0.01</v>
      </c>
      <c r="S183">
        <v>178.95</v>
      </c>
      <c r="T183" s="1" t="s">
        <v>33</v>
      </c>
      <c r="U183" s="1" t="s">
        <v>34</v>
      </c>
    </row>
    <row r="184" spans="1:21" ht="12" customHeight="1" x14ac:dyDescent="0.3">
      <c r="A184">
        <v>2021</v>
      </c>
      <c r="B184">
        <v>2</v>
      </c>
      <c r="C184">
        <v>30194</v>
      </c>
      <c r="D184">
        <v>32467</v>
      </c>
      <c r="E184" t="s">
        <v>21</v>
      </c>
      <c r="F184" t="s">
        <v>22</v>
      </c>
      <c r="G184">
        <v>11259</v>
      </c>
      <c r="H184">
        <v>11697</v>
      </c>
      <c r="I184" t="s">
        <v>23</v>
      </c>
      <c r="J184" t="s">
        <v>24</v>
      </c>
      <c r="K184">
        <v>1121</v>
      </c>
      <c r="L184">
        <v>88</v>
      </c>
      <c r="M184">
        <v>208.36</v>
      </c>
      <c r="N184" t="s">
        <v>25</v>
      </c>
      <c r="O184">
        <v>0.93</v>
      </c>
      <c r="P184">
        <v>207.59</v>
      </c>
      <c r="Q184" t="s">
        <v>25</v>
      </c>
      <c r="R184">
        <v>0.93</v>
      </c>
      <c r="S184">
        <v>207.59</v>
      </c>
      <c r="T184" s="1" t="s">
        <v>33</v>
      </c>
      <c r="U184" s="1" t="s">
        <v>34</v>
      </c>
    </row>
    <row r="185" spans="1:21" ht="12" customHeight="1" x14ac:dyDescent="0.3">
      <c r="A185">
        <v>2021</v>
      </c>
      <c r="B185">
        <v>4</v>
      </c>
      <c r="C185">
        <v>30194</v>
      </c>
      <c r="D185">
        <v>32467</v>
      </c>
      <c r="E185" t="s">
        <v>21</v>
      </c>
      <c r="F185" t="s">
        <v>22</v>
      </c>
      <c r="G185">
        <v>11259</v>
      </c>
      <c r="H185">
        <v>13303</v>
      </c>
      <c r="I185" t="s">
        <v>23</v>
      </c>
      <c r="J185" t="s">
        <v>26</v>
      </c>
      <c r="K185">
        <v>1121</v>
      </c>
      <c r="L185">
        <v>6</v>
      </c>
      <c r="M185">
        <v>169.93</v>
      </c>
      <c r="N185" t="s">
        <v>31</v>
      </c>
      <c r="O185">
        <v>0.5</v>
      </c>
      <c r="P185">
        <v>141.36000000000001</v>
      </c>
      <c r="Q185" t="s">
        <v>31</v>
      </c>
      <c r="R185">
        <v>0.5</v>
      </c>
      <c r="S185">
        <v>141.36000000000001</v>
      </c>
      <c r="T185" s="1" t="s">
        <v>33</v>
      </c>
      <c r="U185" s="1" t="s">
        <v>34</v>
      </c>
    </row>
    <row r="186" spans="1:21" ht="12" customHeight="1" x14ac:dyDescent="0.3">
      <c r="A186">
        <v>2021</v>
      </c>
      <c r="B186">
        <v>3</v>
      </c>
      <c r="C186">
        <v>30194</v>
      </c>
      <c r="D186">
        <v>32467</v>
      </c>
      <c r="E186" t="s">
        <v>21</v>
      </c>
      <c r="F186" t="s">
        <v>22</v>
      </c>
      <c r="G186">
        <v>11259</v>
      </c>
      <c r="H186">
        <v>11697</v>
      </c>
      <c r="I186" t="s">
        <v>23</v>
      </c>
      <c r="J186" t="s">
        <v>24</v>
      </c>
      <c r="K186">
        <v>1121</v>
      </c>
      <c r="L186">
        <v>87</v>
      </c>
      <c r="M186">
        <v>172.66</v>
      </c>
      <c r="N186" t="s">
        <v>25</v>
      </c>
      <c r="O186">
        <v>0.91</v>
      </c>
      <c r="P186">
        <v>174.57</v>
      </c>
      <c r="Q186" t="s">
        <v>31</v>
      </c>
      <c r="R186">
        <v>0.03</v>
      </c>
      <c r="S186">
        <v>122.75</v>
      </c>
      <c r="T186" s="1" t="s">
        <v>33</v>
      </c>
      <c r="U186" s="1" t="s">
        <v>34</v>
      </c>
    </row>
    <row r="187" spans="1:21" ht="12" customHeight="1" x14ac:dyDescent="0.3">
      <c r="A187">
        <v>2021</v>
      </c>
      <c r="B187">
        <v>3</v>
      </c>
      <c r="C187">
        <v>30194</v>
      </c>
      <c r="D187">
        <v>32467</v>
      </c>
      <c r="E187" t="s">
        <v>21</v>
      </c>
      <c r="F187" t="s">
        <v>22</v>
      </c>
      <c r="G187">
        <v>11259</v>
      </c>
      <c r="H187">
        <v>11697</v>
      </c>
      <c r="I187" t="s">
        <v>23</v>
      </c>
      <c r="J187" t="s">
        <v>24</v>
      </c>
      <c r="K187">
        <v>1121</v>
      </c>
      <c r="L187">
        <v>79</v>
      </c>
      <c r="M187">
        <v>197.32</v>
      </c>
      <c r="N187" t="s">
        <v>25</v>
      </c>
      <c r="O187">
        <v>0.93</v>
      </c>
      <c r="P187">
        <v>197.99</v>
      </c>
      <c r="Q187" t="s">
        <v>31</v>
      </c>
      <c r="R187">
        <v>0.01</v>
      </c>
      <c r="S187">
        <v>179.11</v>
      </c>
      <c r="T187" s="1" t="s">
        <v>33</v>
      </c>
      <c r="U187" s="1" t="s">
        <v>34</v>
      </c>
    </row>
    <row r="188" spans="1:21" ht="12" customHeight="1" x14ac:dyDescent="0.3">
      <c r="A188">
        <v>2021</v>
      </c>
      <c r="B188">
        <v>3</v>
      </c>
      <c r="C188">
        <v>30194</v>
      </c>
      <c r="D188">
        <v>32467</v>
      </c>
      <c r="E188" t="s">
        <v>21</v>
      </c>
      <c r="F188" t="s">
        <v>22</v>
      </c>
      <c r="G188">
        <v>11298</v>
      </c>
      <c r="H188">
        <v>13303</v>
      </c>
      <c r="I188" t="s">
        <v>27</v>
      </c>
      <c r="J188" t="s">
        <v>26</v>
      </c>
      <c r="K188">
        <v>1121</v>
      </c>
      <c r="L188">
        <v>584</v>
      </c>
      <c r="M188">
        <v>199.41</v>
      </c>
      <c r="N188" t="s">
        <v>28</v>
      </c>
      <c r="O188">
        <v>0.87</v>
      </c>
      <c r="P188">
        <v>202.34</v>
      </c>
      <c r="Q188" t="s">
        <v>35</v>
      </c>
      <c r="R188">
        <v>0.03</v>
      </c>
      <c r="S188">
        <v>133.76</v>
      </c>
      <c r="T188" s="1" t="s">
        <v>33</v>
      </c>
      <c r="U188" s="1" t="s">
        <v>34</v>
      </c>
    </row>
    <row r="189" spans="1:21" ht="12" customHeight="1" x14ac:dyDescent="0.3">
      <c r="A189">
        <v>2021</v>
      </c>
      <c r="B189">
        <v>2</v>
      </c>
      <c r="C189">
        <v>30194</v>
      </c>
      <c r="D189">
        <v>32467</v>
      </c>
      <c r="E189" t="s">
        <v>21</v>
      </c>
      <c r="F189" t="s">
        <v>22</v>
      </c>
      <c r="G189">
        <v>11298</v>
      </c>
      <c r="H189">
        <v>11697</v>
      </c>
      <c r="I189" t="s">
        <v>27</v>
      </c>
      <c r="J189" t="s">
        <v>24</v>
      </c>
      <c r="K189">
        <v>1121</v>
      </c>
      <c r="L189">
        <v>595</v>
      </c>
      <c r="M189">
        <v>194.66</v>
      </c>
      <c r="N189" t="s">
        <v>28</v>
      </c>
      <c r="O189">
        <v>0.67</v>
      </c>
      <c r="P189">
        <v>200.79</v>
      </c>
      <c r="Q189" t="s">
        <v>31</v>
      </c>
      <c r="R189">
        <v>0.21</v>
      </c>
      <c r="S189">
        <v>186.24</v>
      </c>
      <c r="T189" s="1" t="s">
        <v>33</v>
      </c>
      <c r="U189" s="1" t="s">
        <v>34</v>
      </c>
    </row>
    <row r="190" spans="1:21" ht="12" customHeight="1" x14ac:dyDescent="0.3">
      <c r="A190">
        <v>2021</v>
      </c>
      <c r="B190">
        <v>1</v>
      </c>
      <c r="C190">
        <v>30194</v>
      </c>
      <c r="D190">
        <v>32467</v>
      </c>
      <c r="E190" t="s">
        <v>21</v>
      </c>
      <c r="F190" t="s">
        <v>22</v>
      </c>
      <c r="G190">
        <v>11259</v>
      </c>
      <c r="H190">
        <v>13303</v>
      </c>
      <c r="I190" t="s">
        <v>23</v>
      </c>
      <c r="J190" t="s">
        <v>26</v>
      </c>
      <c r="K190">
        <v>1121</v>
      </c>
      <c r="L190">
        <v>2</v>
      </c>
      <c r="M190">
        <v>188.38</v>
      </c>
      <c r="N190" t="s">
        <v>37</v>
      </c>
      <c r="O190">
        <v>0.5</v>
      </c>
      <c r="P190">
        <v>232.83</v>
      </c>
      <c r="Q190" t="s">
        <v>31</v>
      </c>
      <c r="R190">
        <v>0.37</v>
      </c>
      <c r="S190">
        <v>116.9</v>
      </c>
      <c r="T190" s="1" t="s">
        <v>33</v>
      </c>
      <c r="U190" s="1" t="s">
        <v>34</v>
      </c>
    </row>
    <row r="191" spans="1:21" ht="12" customHeight="1" x14ac:dyDescent="0.3">
      <c r="A191">
        <v>2021</v>
      </c>
      <c r="B191">
        <v>2</v>
      </c>
      <c r="C191">
        <v>30194</v>
      </c>
      <c r="D191">
        <v>32467</v>
      </c>
      <c r="E191" t="s">
        <v>21</v>
      </c>
      <c r="F191" t="s">
        <v>22</v>
      </c>
      <c r="G191">
        <v>11298</v>
      </c>
      <c r="H191">
        <v>13303</v>
      </c>
      <c r="I191" t="s">
        <v>27</v>
      </c>
      <c r="J191" t="s">
        <v>26</v>
      </c>
      <c r="K191">
        <v>1121</v>
      </c>
      <c r="L191">
        <v>604</v>
      </c>
      <c r="M191">
        <v>272.58</v>
      </c>
      <c r="N191" t="s">
        <v>28</v>
      </c>
      <c r="O191">
        <v>0.83</v>
      </c>
      <c r="P191">
        <v>281.41000000000003</v>
      </c>
      <c r="Q191" t="s">
        <v>31</v>
      </c>
      <c r="R191">
        <v>0.03</v>
      </c>
      <c r="S191">
        <v>178.95</v>
      </c>
      <c r="T191" s="1" t="s">
        <v>33</v>
      </c>
      <c r="U191" s="1" t="s">
        <v>34</v>
      </c>
    </row>
    <row r="192" spans="1:21" ht="12" customHeight="1" x14ac:dyDescent="0.3">
      <c r="A192">
        <v>2021</v>
      </c>
      <c r="B192">
        <v>3</v>
      </c>
      <c r="C192">
        <v>30194</v>
      </c>
      <c r="D192">
        <v>32467</v>
      </c>
      <c r="E192" t="s">
        <v>21</v>
      </c>
      <c r="F192" t="s">
        <v>22</v>
      </c>
      <c r="G192">
        <v>11298</v>
      </c>
      <c r="H192">
        <v>11697</v>
      </c>
      <c r="I192" t="s">
        <v>27</v>
      </c>
      <c r="J192" t="s">
        <v>24</v>
      </c>
      <c r="K192">
        <v>1121</v>
      </c>
      <c r="L192">
        <v>559</v>
      </c>
      <c r="M192">
        <v>192.26</v>
      </c>
      <c r="N192" t="s">
        <v>28</v>
      </c>
      <c r="O192">
        <v>0.46</v>
      </c>
      <c r="P192">
        <v>210.44</v>
      </c>
      <c r="Q192" t="s">
        <v>31</v>
      </c>
      <c r="R192">
        <v>0.43</v>
      </c>
      <c r="S192">
        <v>175.37</v>
      </c>
      <c r="T192" s="1" t="s">
        <v>33</v>
      </c>
      <c r="U192" s="1" t="s">
        <v>34</v>
      </c>
    </row>
    <row r="193" spans="1:21" ht="12" customHeight="1" x14ac:dyDescent="0.3">
      <c r="A193">
        <v>2021</v>
      </c>
      <c r="B193">
        <v>1</v>
      </c>
      <c r="C193">
        <v>30194</v>
      </c>
      <c r="D193">
        <v>32467</v>
      </c>
      <c r="E193" t="s">
        <v>21</v>
      </c>
      <c r="F193" t="s">
        <v>22</v>
      </c>
      <c r="G193">
        <v>11259</v>
      </c>
      <c r="H193">
        <v>13303</v>
      </c>
      <c r="I193" t="s">
        <v>23</v>
      </c>
      <c r="J193" t="s">
        <v>26</v>
      </c>
      <c r="K193">
        <v>1121</v>
      </c>
      <c r="L193">
        <v>9</v>
      </c>
      <c r="M193">
        <v>195.03</v>
      </c>
      <c r="N193" t="s">
        <v>37</v>
      </c>
      <c r="O193">
        <v>0.65</v>
      </c>
      <c r="P193">
        <v>198.72</v>
      </c>
      <c r="Q193" t="s">
        <v>31</v>
      </c>
      <c r="R193">
        <v>0.33</v>
      </c>
      <c r="S193">
        <v>186.35</v>
      </c>
      <c r="T193" s="1" t="s">
        <v>33</v>
      </c>
      <c r="U193" s="1" t="s">
        <v>34</v>
      </c>
    </row>
    <row r="194" spans="1:21" ht="12" customHeight="1" x14ac:dyDescent="0.3">
      <c r="A194">
        <v>2021</v>
      </c>
      <c r="B194">
        <v>3</v>
      </c>
      <c r="C194">
        <v>30194</v>
      </c>
      <c r="D194">
        <v>32467</v>
      </c>
      <c r="E194" t="s">
        <v>21</v>
      </c>
      <c r="F194" t="s">
        <v>22</v>
      </c>
      <c r="G194">
        <v>11298</v>
      </c>
      <c r="H194">
        <v>11697</v>
      </c>
      <c r="I194" t="s">
        <v>27</v>
      </c>
      <c r="J194" t="s">
        <v>24</v>
      </c>
      <c r="K194">
        <v>1121</v>
      </c>
      <c r="L194">
        <v>505</v>
      </c>
      <c r="M194">
        <v>181.38</v>
      </c>
      <c r="N194" t="s">
        <v>28</v>
      </c>
      <c r="O194">
        <v>0.56999999999999995</v>
      </c>
      <c r="P194">
        <v>186.69</v>
      </c>
      <c r="Q194" t="s">
        <v>31</v>
      </c>
      <c r="R194">
        <v>0.28999999999999998</v>
      </c>
      <c r="S194">
        <v>182.62</v>
      </c>
      <c r="T194" s="1" t="s">
        <v>33</v>
      </c>
      <c r="U194" s="1" t="s">
        <v>34</v>
      </c>
    </row>
    <row r="195" spans="1:21" ht="12" customHeight="1" x14ac:dyDescent="0.3">
      <c r="A195">
        <v>2021</v>
      </c>
      <c r="B195">
        <v>4</v>
      </c>
      <c r="C195">
        <v>30194</v>
      </c>
      <c r="D195">
        <v>32467</v>
      </c>
      <c r="E195" t="s">
        <v>21</v>
      </c>
      <c r="F195" t="s">
        <v>22</v>
      </c>
      <c r="G195">
        <v>11298</v>
      </c>
      <c r="H195">
        <v>13303</v>
      </c>
      <c r="I195" t="s">
        <v>27</v>
      </c>
      <c r="J195" t="s">
        <v>26</v>
      </c>
      <c r="K195">
        <v>1121</v>
      </c>
      <c r="L195">
        <v>513</v>
      </c>
      <c r="M195">
        <v>243.22</v>
      </c>
      <c r="N195" t="s">
        <v>28</v>
      </c>
      <c r="O195">
        <v>0.78</v>
      </c>
      <c r="P195">
        <v>256.88</v>
      </c>
      <c r="Q195" t="s">
        <v>36</v>
      </c>
      <c r="R195">
        <v>0.01</v>
      </c>
      <c r="S195">
        <v>151.77000000000001</v>
      </c>
      <c r="T195" s="1" t="s">
        <v>33</v>
      </c>
      <c r="U195" s="1" t="s">
        <v>34</v>
      </c>
    </row>
    <row r="196" spans="1:21" ht="12" customHeight="1" x14ac:dyDescent="0.3">
      <c r="A196">
        <v>2021</v>
      </c>
      <c r="B196">
        <v>1</v>
      </c>
      <c r="C196">
        <v>30194</v>
      </c>
      <c r="D196">
        <v>32467</v>
      </c>
      <c r="E196" t="s">
        <v>21</v>
      </c>
      <c r="F196" t="s">
        <v>22</v>
      </c>
      <c r="G196">
        <v>11298</v>
      </c>
      <c r="H196">
        <v>11697</v>
      </c>
      <c r="I196" t="s">
        <v>27</v>
      </c>
      <c r="J196" t="s">
        <v>24</v>
      </c>
      <c r="K196">
        <v>1121</v>
      </c>
      <c r="L196">
        <v>803</v>
      </c>
      <c r="M196">
        <v>251.87</v>
      </c>
      <c r="N196" t="s">
        <v>28</v>
      </c>
      <c r="O196">
        <v>0.74280000000000002</v>
      </c>
      <c r="P196">
        <v>281.61</v>
      </c>
      <c r="Q196" t="s">
        <v>29</v>
      </c>
      <c r="R196">
        <v>0.21859999999999999</v>
      </c>
      <c r="S196">
        <v>136.74</v>
      </c>
    </row>
    <row r="197" spans="1:21" ht="12" customHeight="1" x14ac:dyDescent="0.3">
      <c r="A197">
        <v>2021</v>
      </c>
      <c r="B197">
        <v>3</v>
      </c>
      <c r="C197">
        <v>30194</v>
      </c>
      <c r="D197">
        <v>32467</v>
      </c>
      <c r="E197" t="s">
        <v>21</v>
      </c>
      <c r="F197" t="s">
        <v>22</v>
      </c>
      <c r="G197">
        <v>11259</v>
      </c>
      <c r="H197">
        <v>13303</v>
      </c>
      <c r="I197" t="s">
        <v>23</v>
      </c>
      <c r="J197" t="s">
        <v>26</v>
      </c>
      <c r="K197">
        <v>1121</v>
      </c>
      <c r="L197">
        <v>15</v>
      </c>
      <c r="M197">
        <v>139.66</v>
      </c>
      <c r="N197" t="s">
        <v>31</v>
      </c>
      <c r="O197">
        <v>0.5</v>
      </c>
      <c r="P197">
        <v>149.13</v>
      </c>
      <c r="Q197" t="s">
        <v>32</v>
      </c>
      <c r="R197">
        <v>0.45</v>
      </c>
      <c r="S197">
        <v>123.98</v>
      </c>
      <c r="T197" s="1" t="s">
        <v>33</v>
      </c>
      <c r="U197" s="1" t="s">
        <v>34</v>
      </c>
    </row>
    <row r="198" spans="1:21" ht="12" customHeight="1" x14ac:dyDescent="0.3">
      <c r="A198">
        <v>2021</v>
      </c>
      <c r="B198">
        <v>4</v>
      </c>
      <c r="C198">
        <v>30194</v>
      </c>
      <c r="D198">
        <v>32467</v>
      </c>
      <c r="E198" t="s">
        <v>21</v>
      </c>
      <c r="F198" t="s">
        <v>22</v>
      </c>
      <c r="G198">
        <v>11298</v>
      </c>
      <c r="H198">
        <v>13303</v>
      </c>
      <c r="I198" t="s">
        <v>27</v>
      </c>
      <c r="J198" t="s">
        <v>26</v>
      </c>
      <c r="K198">
        <v>1121</v>
      </c>
      <c r="L198">
        <v>542</v>
      </c>
      <c r="M198">
        <v>213.96</v>
      </c>
      <c r="N198" t="s">
        <v>28</v>
      </c>
      <c r="O198">
        <v>0.85</v>
      </c>
      <c r="P198">
        <v>213.41</v>
      </c>
      <c r="Q198" t="s">
        <v>35</v>
      </c>
      <c r="R198">
        <v>0.03</v>
      </c>
      <c r="S198">
        <v>180.15</v>
      </c>
      <c r="T198" s="1" t="s">
        <v>33</v>
      </c>
      <c r="U198" s="1" t="s">
        <v>34</v>
      </c>
    </row>
    <row r="199" spans="1:21" ht="12" customHeight="1" x14ac:dyDescent="0.3">
      <c r="A199">
        <v>2021</v>
      </c>
      <c r="B199">
        <v>4</v>
      </c>
      <c r="C199">
        <v>30194</v>
      </c>
      <c r="D199">
        <v>32467</v>
      </c>
      <c r="E199" t="s">
        <v>21</v>
      </c>
      <c r="F199" t="s">
        <v>22</v>
      </c>
      <c r="G199">
        <v>11259</v>
      </c>
      <c r="H199">
        <v>11697</v>
      </c>
      <c r="I199" t="s">
        <v>23</v>
      </c>
      <c r="J199" t="s">
        <v>24</v>
      </c>
      <c r="K199">
        <v>1121</v>
      </c>
      <c r="L199">
        <v>13</v>
      </c>
      <c r="M199">
        <v>199.29</v>
      </c>
      <c r="N199" t="s">
        <v>32</v>
      </c>
      <c r="O199">
        <v>0.35</v>
      </c>
      <c r="P199">
        <v>156.44</v>
      </c>
      <c r="Q199" t="s">
        <v>31</v>
      </c>
      <c r="R199">
        <v>0.28000000000000003</v>
      </c>
      <c r="S199">
        <v>149.15</v>
      </c>
      <c r="T199" s="1" t="s">
        <v>33</v>
      </c>
      <c r="U199" s="1" t="s">
        <v>34</v>
      </c>
    </row>
    <row r="200" spans="1:21" ht="12" customHeight="1" x14ac:dyDescent="0.3">
      <c r="A200">
        <v>2021</v>
      </c>
      <c r="B200">
        <v>1</v>
      </c>
      <c r="C200">
        <v>30194</v>
      </c>
      <c r="D200">
        <v>32467</v>
      </c>
      <c r="E200" t="s">
        <v>21</v>
      </c>
      <c r="F200" t="s">
        <v>22</v>
      </c>
      <c r="G200">
        <v>11298</v>
      </c>
      <c r="H200">
        <v>11697</v>
      </c>
      <c r="I200" t="s">
        <v>27</v>
      </c>
      <c r="J200" t="s">
        <v>24</v>
      </c>
      <c r="K200">
        <v>1121</v>
      </c>
      <c r="L200">
        <v>454</v>
      </c>
      <c r="M200">
        <v>191.54</v>
      </c>
      <c r="N200" t="s">
        <v>28</v>
      </c>
      <c r="O200">
        <v>0.57999999999999996</v>
      </c>
      <c r="P200">
        <v>193.26</v>
      </c>
      <c r="Q200" t="s">
        <v>31</v>
      </c>
      <c r="R200">
        <v>0.32</v>
      </c>
      <c r="S200">
        <v>184.47</v>
      </c>
      <c r="T200" s="1" t="s">
        <v>33</v>
      </c>
      <c r="U200" s="1" t="s">
        <v>34</v>
      </c>
    </row>
    <row r="201" spans="1:21" ht="12" customHeight="1" x14ac:dyDescent="0.3">
      <c r="A201">
        <v>2021</v>
      </c>
      <c r="B201">
        <v>4</v>
      </c>
      <c r="C201">
        <v>30194</v>
      </c>
      <c r="D201">
        <v>32467</v>
      </c>
      <c r="E201" t="s">
        <v>21</v>
      </c>
      <c r="F201" t="s">
        <v>22</v>
      </c>
      <c r="G201">
        <v>11298</v>
      </c>
      <c r="H201">
        <v>13303</v>
      </c>
      <c r="I201" t="s">
        <v>27</v>
      </c>
      <c r="J201" t="s">
        <v>26</v>
      </c>
      <c r="K201">
        <v>1121</v>
      </c>
      <c r="L201">
        <v>579</v>
      </c>
      <c r="M201">
        <v>255.95</v>
      </c>
      <c r="N201" t="s">
        <v>28</v>
      </c>
      <c r="O201">
        <v>0.9</v>
      </c>
      <c r="P201">
        <v>258.25</v>
      </c>
      <c r="Q201" t="s">
        <v>31</v>
      </c>
      <c r="R201">
        <v>0.02</v>
      </c>
      <c r="S201">
        <v>170.38</v>
      </c>
      <c r="T201" s="1" t="s">
        <v>33</v>
      </c>
      <c r="U201" s="1" t="s">
        <v>34</v>
      </c>
    </row>
    <row r="202" spans="1:21" ht="12" customHeight="1" x14ac:dyDescent="0.3">
      <c r="A202">
        <v>2021</v>
      </c>
      <c r="B202">
        <v>1</v>
      </c>
      <c r="C202">
        <v>30194</v>
      </c>
      <c r="D202">
        <v>32467</v>
      </c>
      <c r="E202" t="s">
        <v>21</v>
      </c>
      <c r="F202" t="s">
        <v>22</v>
      </c>
      <c r="G202">
        <v>11298</v>
      </c>
      <c r="H202">
        <v>11697</v>
      </c>
      <c r="I202" t="s">
        <v>27</v>
      </c>
      <c r="J202" t="s">
        <v>24</v>
      </c>
      <c r="K202">
        <v>1121</v>
      </c>
      <c r="L202">
        <v>771</v>
      </c>
      <c r="M202">
        <v>169.06</v>
      </c>
      <c r="N202" t="s">
        <v>28</v>
      </c>
      <c r="O202">
        <v>0.77</v>
      </c>
      <c r="P202">
        <v>169.99</v>
      </c>
      <c r="Q202" t="s">
        <v>35</v>
      </c>
      <c r="R202">
        <v>0.1</v>
      </c>
      <c r="S202">
        <v>146.63</v>
      </c>
      <c r="T202" s="1" t="s">
        <v>33</v>
      </c>
      <c r="U202" s="1" t="s">
        <v>34</v>
      </c>
    </row>
    <row r="203" spans="1:21" ht="12" customHeight="1" x14ac:dyDescent="0.3">
      <c r="A203">
        <v>2021</v>
      </c>
      <c r="B203">
        <v>4</v>
      </c>
      <c r="C203">
        <v>30194</v>
      </c>
      <c r="D203">
        <v>32467</v>
      </c>
      <c r="E203" t="s">
        <v>21</v>
      </c>
      <c r="F203" t="s">
        <v>22</v>
      </c>
      <c r="G203">
        <v>11259</v>
      </c>
      <c r="H203">
        <v>13303</v>
      </c>
      <c r="I203" t="s">
        <v>23</v>
      </c>
      <c r="J203" t="s">
        <v>26</v>
      </c>
      <c r="K203">
        <v>1121</v>
      </c>
      <c r="L203">
        <v>2</v>
      </c>
      <c r="M203">
        <v>264.06</v>
      </c>
      <c r="N203" t="s">
        <v>32</v>
      </c>
      <c r="O203">
        <v>1</v>
      </c>
      <c r="P203">
        <v>264.06</v>
      </c>
      <c r="Q203" t="s">
        <v>32</v>
      </c>
      <c r="R203">
        <v>1</v>
      </c>
      <c r="S203">
        <v>264.06</v>
      </c>
      <c r="T203" s="1" t="s">
        <v>33</v>
      </c>
      <c r="U203" s="1" t="s">
        <v>34</v>
      </c>
    </row>
    <row r="204" spans="1:21" ht="12" customHeight="1" x14ac:dyDescent="0.3">
      <c r="A204">
        <v>2021</v>
      </c>
      <c r="B204">
        <v>1</v>
      </c>
      <c r="C204">
        <v>30194</v>
      </c>
      <c r="D204">
        <v>32467</v>
      </c>
      <c r="E204" t="s">
        <v>21</v>
      </c>
      <c r="F204" t="s">
        <v>22</v>
      </c>
      <c r="G204">
        <v>11298</v>
      </c>
      <c r="H204">
        <v>13303</v>
      </c>
      <c r="I204" t="s">
        <v>27</v>
      </c>
      <c r="J204" t="s">
        <v>26</v>
      </c>
      <c r="K204">
        <v>1121</v>
      </c>
      <c r="L204">
        <v>913</v>
      </c>
      <c r="M204">
        <v>302.91000000000003</v>
      </c>
      <c r="N204" t="s">
        <v>28</v>
      </c>
      <c r="O204">
        <v>0.96240000000000003</v>
      </c>
      <c r="P204">
        <v>303.41000000000003</v>
      </c>
      <c r="Q204" t="s">
        <v>31</v>
      </c>
      <c r="R204">
        <v>1.11E-2</v>
      </c>
      <c r="S204">
        <v>273.85000000000002</v>
      </c>
    </row>
    <row r="205" spans="1:21" ht="12" customHeight="1" x14ac:dyDescent="0.3">
      <c r="A205">
        <v>2021</v>
      </c>
      <c r="B205">
        <v>2</v>
      </c>
      <c r="C205">
        <v>30194</v>
      </c>
      <c r="D205">
        <v>32467</v>
      </c>
      <c r="E205" t="s">
        <v>21</v>
      </c>
      <c r="F205" t="s">
        <v>22</v>
      </c>
      <c r="G205">
        <v>11298</v>
      </c>
      <c r="H205">
        <v>13303</v>
      </c>
      <c r="I205" t="s">
        <v>27</v>
      </c>
      <c r="J205" t="s">
        <v>26</v>
      </c>
      <c r="K205">
        <v>1121</v>
      </c>
      <c r="L205">
        <v>527</v>
      </c>
      <c r="M205">
        <v>222.56</v>
      </c>
      <c r="N205" t="s">
        <v>28</v>
      </c>
      <c r="O205">
        <v>0.61</v>
      </c>
      <c r="P205">
        <v>241.7</v>
      </c>
      <c r="Q205" t="s">
        <v>31</v>
      </c>
      <c r="R205">
        <v>0.26</v>
      </c>
      <c r="S205">
        <v>181.11</v>
      </c>
      <c r="T205" s="1" t="s">
        <v>33</v>
      </c>
      <c r="U205" s="1" t="s">
        <v>34</v>
      </c>
    </row>
    <row r="206" spans="1:21" ht="12" customHeight="1" x14ac:dyDescent="0.3">
      <c r="A206">
        <v>2021</v>
      </c>
      <c r="B206">
        <v>3</v>
      </c>
      <c r="C206">
        <v>30194</v>
      </c>
      <c r="D206">
        <v>32467</v>
      </c>
      <c r="E206" t="s">
        <v>21</v>
      </c>
      <c r="F206" t="s">
        <v>22</v>
      </c>
      <c r="G206">
        <v>11298</v>
      </c>
      <c r="H206">
        <v>11697</v>
      </c>
      <c r="I206" t="s">
        <v>27</v>
      </c>
      <c r="J206" t="s">
        <v>24</v>
      </c>
      <c r="K206">
        <v>1121</v>
      </c>
      <c r="L206">
        <v>595</v>
      </c>
      <c r="M206">
        <v>174.5</v>
      </c>
      <c r="N206" t="s">
        <v>28</v>
      </c>
      <c r="O206">
        <v>0.69</v>
      </c>
      <c r="P206">
        <v>177.99</v>
      </c>
      <c r="Q206" t="s">
        <v>31</v>
      </c>
      <c r="R206">
        <v>0.2</v>
      </c>
      <c r="S206">
        <v>171.78</v>
      </c>
      <c r="T206" s="1" t="s">
        <v>33</v>
      </c>
      <c r="U206" s="1" t="s">
        <v>34</v>
      </c>
    </row>
    <row r="207" spans="1:21" ht="12" customHeight="1" x14ac:dyDescent="0.3">
      <c r="A207">
        <v>2021</v>
      </c>
      <c r="B207">
        <v>4</v>
      </c>
      <c r="C207">
        <v>30194</v>
      </c>
      <c r="D207">
        <v>32467</v>
      </c>
      <c r="E207" t="s">
        <v>21</v>
      </c>
      <c r="F207" t="s">
        <v>22</v>
      </c>
      <c r="G207">
        <v>11259</v>
      </c>
      <c r="H207">
        <v>11697</v>
      </c>
      <c r="I207" t="s">
        <v>23</v>
      </c>
      <c r="J207" t="s">
        <v>24</v>
      </c>
      <c r="K207">
        <v>1121</v>
      </c>
      <c r="L207">
        <v>67</v>
      </c>
      <c r="M207">
        <v>224.25</v>
      </c>
      <c r="N207" t="s">
        <v>25</v>
      </c>
      <c r="O207">
        <v>0.92</v>
      </c>
      <c r="P207">
        <v>225.34</v>
      </c>
      <c r="Q207" t="s">
        <v>32</v>
      </c>
      <c r="R207">
        <v>7.0000000000000007E-2</v>
      </c>
      <c r="S207">
        <v>214.51</v>
      </c>
      <c r="T207" s="1" t="s">
        <v>33</v>
      </c>
      <c r="U207" s="1" t="s">
        <v>34</v>
      </c>
    </row>
    <row r="208" spans="1:21" ht="12" customHeight="1" x14ac:dyDescent="0.3">
      <c r="A208">
        <v>2021</v>
      </c>
      <c r="B208">
        <v>2</v>
      </c>
      <c r="C208">
        <v>30194</v>
      </c>
      <c r="D208">
        <v>32467</v>
      </c>
      <c r="E208" t="s">
        <v>21</v>
      </c>
      <c r="F208" t="s">
        <v>22</v>
      </c>
      <c r="G208">
        <v>11298</v>
      </c>
      <c r="H208">
        <v>11697</v>
      </c>
      <c r="I208" t="s">
        <v>27</v>
      </c>
      <c r="J208" t="s">
        <v>24</v>
      </c>
      <c r="K208">
        <v>1121</v>
      </c>
      <c r="L208">
        <v>582</v>
      </c>
      <c r="M208">
        <v>206.67</v>
      </c>
      <c r="N208" t="s">
        <v>28</v>
      </c>
      <c r="O208">
        <v>0.48</v>
      </c>
      <c r="P208">
        <v>217.71</v>
      </c>
      <c r="Q208" t="s">
        <v>31</v>
      </c>
      <c r="R208">
        <v>0.39</v>
      </c>
      <c r="S208">
        <v>195.37</v>
      </c>
      <c r="T208" s="1" t="s">
        <v>33</v>
      </c>
      <c r="U208" s="1" t="s">
        <v>34</v>
      </c>
    </row>
    <row r="209" spans="1:21" ht="12" customHeight="1" x14ac:dyDescent="0.3">
      <c r="A209">
        <v>2021</v>
      </c>
      <c r="B209">
        <v>1</v>
      </c>
      <c r="C209">
        <v>30194</v>
      </c>
      <c r="D209">
        <v>32467</v>
      </c>
      <c r="E209" t="s">
        <v>21</v>
      </c>
      <c r="F209" t="s">
        <v>22</v>
      </c>
      <c r="G209">
        <v>11259</v>
      </c>
      <c r="H209">
        <v>11697</v>
      </c>
      <c r="I209" t="s">
        <v>23</v>
      </c>
      <c r="J209" t="s">
        <v>24</v>
      </c>
      <c r="K209">
        <v>1121</v>
      </c>
      <c r="L209">
        <v>94</v>
      </c>
      <c r="M209">
        <v>186.81</v>
      </c>
      <c r="N209" t="s">
        <v>25</v>
      </c>
      <c r="O209">
        <v>0.93</v>
      </c>
      <c r="P209">
        <v>183.76</v>
      </c>
      <c r="Q209" t="s">
        <v>25</v>
      </c>
      <c r="R209">
        <v>0.93</v>
      </c>
      <c r="S209">
        <v>183.76</v>
      </c>
      <c r="T209" s="1" t="s">
        <v>33</v>
      </c>
      <c r="U209" s="1" t="s">
        <v>34</v>
      </c>
    </row>
    <row r="210" spans="1:21" ht="12" customHeight="1" x14ac:dyDescent="0.3">
      <c r="A210">
        <v>2021</v>
      </c>
      <c r="B210">
        <v>4</v>
      </c>
      <c r="C210">
        <v>30194</v>
      </c>
      <c r="D210">
        <v>32467</v>
      </c>
      <c r="E210" t="s">
        <v>21</v>
      </c>
      <c r="F210" t="s">
        <v>22</v>
      </c>
      <c r="G210">
        <v>11259</v>
      </c>
      <c r="H210">
        <v>13303</v>
      </c>
      <c r="I210" t="s">
        <v>23</v>
      </c>
      <c r="J210" t="s">
        <v>26</v>
      </c>
      <c r="K210">
        <v>1121</v>
      </c>
      <c r="L210">
        <v>5</v>
      </c>
      <c r="M210">
        <v>137.06</v>
      </c>
      <c r="N210" t="s">
        <v>32</v>
      </c>
      <c r="O210">
        <v>0.59</v>
      </c>
      <c r="P210">
        <v>134.27000000000001</v>
      </c>
      <c r="Q210" t="s">
        <v>32</v>
      </c>
      <c r="R210">
        <v>0.59</v>
      </c>
      <c r="S210">
        <v>134.27000000000001</v>
      </c>
      <c r="T210" s="1" t="s">
        <v>33</v>
      </c>
      <c r="U210" s="1" t="s">
        <v>34</v>
      </c>
    </row>
    <row r="211" spans="1:21" ht="12" customHeight="1" x14ac:dyDescent="0.3">
      <c r="A211">
        <v>2021</v>
      </c>
      <c r="B211">
        <v>4</v>
      </c>
      <c r="C211">
        <v>30194</v>
      </c>
      <c r="D211">
        <v>32467</v>
      </c>
      <c r="E211" t="s">
        <v>21</v>
      </c>
      <c r="F211" t="s">
        <v>22</v>
      </c>
      <c r="G211">
        <v>11298</v>
      </c>
      <c r="H211">
        <v>13303</v>
      </c>
      <c r="I211" t="s">
        <v>27</v>
      </c>
      <c r="J211" t="s">
        <v>26</v>
      </c>
      <c r="K211">
        <v>1121</v>
      </c>
      <c r="L211">
        <v>551</v>
      </c>
      <c r="M211">
        <v>253.36</v>
      </c>
      <c r="N211" t="s">
        <v>28</v>
      </c>
      <c r="O211">
        <v>0.88</v>
      </c>
      <c r="P211">
        <v>258.8</v>
      </c>
      <c r="Q211" t="s">
        <v>31</v>
      </c>
      <c r="R211">
        <v>0.04</v>
      </c>
      <c r="S211">
        <v>188.17</v>
      </c>
      <c r="T211" s="1" t="s">
        <v>33</v>
      </c>
      <c r="U211" s="1" t="s">
        <v>34</v>
      </c>
    </row>
    <row r="212" spans="1:21" ht="12" customHeight="1" x14ac:dyDescent="0.3">
      <c r="A212">
        <v>2021</v>
      </c>
      <c r="B212">
        <v>1</v>
      </c>
      <c r="C212">
        <v>30194</v>
      </c>
      <c r="D212">
        <v>32467</v>
      </c>
      <c r="E212" t="s">
        <v>21</v>
      </c>
      <c r="F212" t="s">
        <v>22</v>
      </c>
      <c r="G212">
        <v>11259</v>
      </c>
      <c r="H212">
        <v>13303</v>
      </c>
      <c r="I212" t="s">
        <v>23</v>
      </c>
      <c r="J212" t="s">
        <v>26</v>
      </c>
      <c r="K212">
        <v>1121</v>
      </c>
      <c r="L212">
        <v>5</v>
      </c>
      <c r="M212">
        <v>160.97</v>
      </c>
      <c r="N212" t="s">
        <v>32</v>
      </c>
      <c r="O212">
        <v>0.97</v>
      </c>
      <c r="P212">
        <v>162.19</v>
      </c>
      <c r="Q212" t="s">
        <v>32</v>
      </c>
      <c r="R212">
        <v>0.97</v>
      </c>
      <c r="S212">
        <v>162.19</v>
      </c>
      <c r="T212" s="1" t="s">
        <v>33</v>
      </c>
      <c r="U212" s="1" t="s">
        <v>34</v>
      </c>
    </row>
    <row r="213" spans="1:21" ht="12" customHeight="1" x14ac:dyDescent="0.3">
      <c r="A213">
        <v>2021</v>
      </c>
      <c r="B213">
        <v>4</v>
      </c>
      <c r="C213">
        <v>30194</v>
      </c>
      <c r="D213">
        <v>32467</v>
      </c>
      <c r="E213" t="s">
        <v>21</v>
      </c>
      <c r="F213" t="s">
        <v>22</v>
      </c>
      <c r="G213">
        <v>11298</v>
      </c>
      <c r="H213">
        <v>11697</v>
      </c>
      <c r="I213" t="s">
        <v>27</v>
      </c>
      <c r="J213" t="s">
        <v>24</v>
      </c>
      <c r="K213">
        <v>1121</v>
      </c>
      <c r="L213">
        <v>595</v>
      </c>
      <c r="M213">
        <v>209.16</v>
      </c>
      <c r="N213" t="s">
        <v>28</v>
      </c>
      <c r="O213">
        <v>0.5</v>
      </c>
      <c r="P213">
        <v>222.36</v>
      </c>
      <c r="Q213" t="s">
        <v>31</v>
      </c>
      <c r="R213">
        <v>0.35</v>
      </c>
      <c r="S213">
        <v>198.6</v>
      </c>
      <c r="T213" s="1" t="s">
        <v>33</v>
      </c>
      <c r="U213" s="1" t="s">
        <v>34</v>
      </c>
    </row>
    <row r="214" spans="1:21" ht="12" customHeight="1" x14ac:dyDescent="0.3">
      <c r="A214">
        <v>2021</v>
      </c>
      <c r="B214">
        <v>3</v>
      </c>
      <c r="C214">
        <v>30194</v>
      </c>
      <c r="D214">
        <v>32467</v>
      </c>
      <c r="E214" t="s">
        <v>21</v>
      </c>
      <c r="F214" t="s">
        <v>22</v>
      </c>
      <c r="G214">
        <v>11298</v>
      </c>
      <c r="H214">
        <v>11697</v>
      </c>
      <c r="I214" t="s">
        <v>27</v>
      </c>
      <c r="J214" t="s">
        <v>24</v>
      </c>
      <c r="K214">
        <v>1121</v>
      </c>
      <c r="L214">
        <v>413</v>
      </c>
      <c r="M214">
        <v>222.32</v>
      </c>
      <c r="N214" t="s">
        <v>28</v>
      </c>
      <c r="O214">
        <v>0.51</v>
      </c>
      <c r="P214">
        <v>243.47</v>
      </c>
      <c r="Q214" t="s">
        <v>31</v>
      </c>
      <c r="R214">
        <v>0.24</v>
      </c>
      <c r="S214">
        <v>218.36</v>
      </c>
      <c r="T214" s="1" t="s">
        <v>33</v>
      </c>
      <c r="U214" s="1" t="s">
        <v>34</v>
      </c>
    </row>
    <row r="215" spans="1:21" ht="12" customHeight="1" x14ac:dyDescent="0.3">
      <c r="A215">
        <v>2021</v>
      </c>
      <c r="B215">
        <v>2</v>
      </c>
      <c r="C215">
        <v>30194</v>
      </c>
      <c r="D215">
        <v>32467</v>
      </c>
      <c r="E215" t="s">
        <v>21</v>
      </c>
      <c r="F215" t="s">
        <v>22</v>
      </c>
      <c r="G215">
        <v>11259</v>
      </c>
      <c r="H215">
        <v>13303</v>
      </c>
      <c r="I215" t="s">
        <v>23</v>
      </c>
      <c r="J215" t="s">
        <v>26</v>
      </c>
      <c r="K215">
        <v>1121</v>
      </c>
      <c r="L215">
        <v>3</v>
      </c>
      <c r="M215">
        <v>184.37</v>
      </c>
      <c r="N215" t="s">
        <v>32</v>
      </c>
      <c r="O215">
        <v>0.96</v>
      </c>
      <c r="P215">
        <v>184.08</v>
      </c>
      <c r="Q215" t="s">
        <v>32</v>
      </c>
      <c r="R215">
        <v>0.96</v>
      </c>
      <c r="S215">
        <v>184.08</v>
      </c>
      <c r="T215" s="1" t="s">
        <v>33</v>
      </c>
      <c r="U215" s="1" t="s">
        <v>34</v>
      </c>
    </row>
    <row r="216" spans="1:21" ht="12" customHeight="1" x14ac:dyDescent="0.3">
      <c r="A216">
        <v>2021</v>
      </c>
      <c r="B216">
        <v>2</v>
      </c>
      <c r="C216">
        <v>30194</v>
      </c>
      <c r="D216">
        <v>32467</v>
      </c>
      <c r="E216" t="s">
        <v>21</v>
      </c>
      <c r="F216" t="s">
        <v>22</v>
      </c>
      <c r="G216">
        <v>11259</v>
      </c>
      <c r="H216">
        <v>13303</v>
      </c>
      <c r="I216" t="s">
        <v>23</v>
      </c>
      <c r="J216" t="s">
        <v>26</v>
      </c>
      <c r="K216">
        <v>1121</v>
      </c>
      <c r="L216">
        <v>15</v>
      </c>
      <c r="M216">
        <v>158.30000000000001</v>
      </c>
      <c r="N216" t="s">
        <v>31</v>
      </c>
      <c r="O216">
        <v>0.54</v>
      </c>
      <c r="P216">
        <v>153.65</v>
      </c>
      <c r="Q216" t="s">
        <v>31</v>
      </c>
      <c r="R216">
        <v>0.54</v>
      </c>
      <c r="S216">
        <v>153.65</v>
      </c>
      <c r="T216" s="1" t="s">
        <v>33</v>
      </c>
      <c r="U216" s="1" t="s">
        <v>34</v>
      </c>
    </row>
    <row r="217" spans="1:21" ht="12" customHeight="1" x14ac:dyDescent="0.3">
      <c r="A217">
        <v>2021</v>
      </c>
      <c r="B217">
        <v>3</v>
      </c>
      <c r="C217">
        <v>30194</v>
      </c>
      <c r="D217">
        <v>32467</v>
      </c>
      <c r="E217" t="s">
        <v>21</v>
      </c>
      <c r="F217" t="s">
        <v>22</v>
      </c>
      <c r="G217">
        <v>11259</v>
      </c>
      <c r="H217">
        <v>13303</v>
      </c>
      <c r="I217" t="s">
        <v>23</v>
      </c>
      <c r="J217" t="s">
        <v>26</v>
      </c>
      <c r="K217">
        <v>1121</v>
      </c>
      <c r="L217">
        <v>3</v>
      </c>
      <c r="M217">
        <v>164.17</v>
      </c>
      <c r="N217" t="s">
        <v>32</v>
      </c>
      <c r="O217">
        <v>0.95</v>
      </c>
      <c r="P217">
        <v>155.55000000000001</v>
      </c>
      <c r="Q217" t="s">
        <v>32</v>
      </c>
      <c r="R217">
        <v>0.95</v>
      </c>
      <c r="S217">
        <v>155.55000000000001</v>
      </c>
      <c r="T217" s="1" t="s">
        <v>33</v>
      </c>
      <c r="U217" s="1" t="s">
        <v>34</v>
      </c>
    </row>
    <row r="218" spans="1:21" ht="12" customHeight="1" x14ac:dyDescent="0.3">
      <c r="A218">
        <v>2021</v>
      </c>
      <c r="B218">
        <v>4</v>
      </c>
      <c r="C218">
        <v>30194</v>
      </c>
      <c r="D218">
        <v>32467</v>
      </c>
      <c r="E218" t="s">
        <v>21</v>
      </c>
      <c r="F218" t="s">
        <v>22</v>
      </c>
      <c r="G218">
        <v>11298</v>
      </c>
      <c r="H218">
        <v>11697</v>
      </c>
      <c r="I218" t="s">
        <v>27</v>
      </c>
      <c r="J218" t="s">
        <v>24</v>
      </c>
      <c r="K218">
        <v>1121</v>
      </c>
      <c r="L218">
        <v>478</v>
      </c>
      <c r="M218">
        <v>192.93</v>
      </c>
      <c r="N218" t="s">
        <v>28</v>
      </c>
      <c r="O218">
        <v>0.82</v>
      </c>
      <c r="P218">
        <v>194.46</v>
      </c>
      <c r="Q218" t="s">
        <v>35</v>
      </c>
      <c r="R218">
        <v>0.02</v>
      </c>
      <c r="S218">
        <v>177.4</v>
      </c>
      <c r="T218" s="1" t="s">
        <v>33</v>
      </c>
      <c r="U218" s="1" t="s">
        <v>34</v>
      </c>
    </row>
    <row r="219" spans="1:21" ht="12" customHeight="1" x14ac:dyDescent="0.3">
      <c r="A219">
        <v>2021</v>
      </c>
      <c r="B219">
        <v>4</v>
      </c>
      <c r="C219">
        <v>30194</v>
      </c>
      <c r="D219">
        <v>32467</v>
      </c>
      <c r="E219" t="s">
        <v>21</v>
      </c>
      <c r="F219" t="s">
        <v>22</v>
      </c>
      <c r="G219">
        <v>11298</v>
      </c>
      <c r="H219">
        <v>11697</v>
      </c>
      <c r="I219" t="s">
        <v>27</v>
      </c>
      <c r="J219" t="s">
        <v>24</v>
      </c>
      <c r="K219">
        <v>1121</v>
      </c>
      <c r="L219">
        <v>853</v>
      </c>
      <c r="M219">
        <v>189.16</v>
      </c>
      <c r="N219" t="s">
        <v>28</v>
      </c>
      <c r="O219">
        <v>0.54</v>
      </c>
      <c r="P219">
        <v>239.52</v>
      </c>
      <c r="Q219" t="s">
        <v>29</v>
      </c>
      <c r="R219">
        <v>0.39</v>
      </c>
      <c r="S219">
        <v>107.95</v>
      </c>
      <c r="T219" s="1" t="s">
        <v>33</v>
      </c>
      <c r="U219" s="1" t="s">
        <v>34</v>
      </c>
    </row>
    <row r="220" spans="1:21" ht="12" customHeight="1" x14ac:dyDescent="0.3">
      <c r="A220">
        <v>2021</v>
      </c>
      <c r="B220">
        <v>1</v>
      </c>
      <c r="C220">
        <v>30194</v>
      </c>
      <c r="D220">
        <v>32467</v>
      </c>
      <c r="E220" t="s">
        <v>21</v>
      </c>
      <c r="F220" t="s">
        <v>22</v>
      </c>
      <c r="G220">
        <v>11298</v>
      </c>
      <c r="H220">
        <v>13303</v>
      </c>
      <c r="I220" t="s">
        <v>27</v>
      </c>
      <c r="J220" t="s">
        <v>26</v>
      </c>
      <c r="K220">
        <v>1121</v>
      </c>
      <c r="L220">
        <v>594</v>
      </c>
      <c r="M220">
        <v>273.35000000000002</v>
      </c>
      <c r="N220" t="s">
        <v>28</v>
      </c>
      <c r="O220">
        <v>0.88</v>
      </c>
      <c r="P220">
        <v>276.42</v>
      </c>
      <c r="Q220" t="s">
        <v>31</v>
      </c>
      <c r="R220">
        <v>0.04</v>
      </c>
      <c r="S220">
        <v>212.58</v>
      </c>
      <c r="T220" s="1" t="s">
        <v>33</v>
      </c>
      <c r="U220" s="1" t="s">
        <v>34</v>
      </c>
    </row>
    <row r="221" spans="1:21" ht="12" customHeight="1" x14ac:dyDescent="0.3">
      <c r="A221">
        <v>2021</v>
      </c>
      <c r="B221">
        <v>3</v>
      </c>
      <c r="C221">
        <v>30194</v>
      </c>
      <c r="D221">
        <v>32467</v>
      </c>
      <c r="E221" t="s">
        <v>21</v>
      </c>
      <c r="F221" t="s">
        <v>22</v>
      </c>
      <c r="G221">
        <v>11298</v>
      </c>
      <c r="H221">
        <v>11697</v>
      </c>
      <c r="I221" t="s">
        <v>27</v>
      </c>
      <c r="J221" t="s">
        <v>24</v>
      </c>
      <c r="K221">
        <v>1121</v>
      </c>
      <c r="L221">
        <v>523</v>
      </c>
      <c r="M221">
        <v>188.21</v>
      </c>
      <c r="N221" t="s">
        <v>28</v>
      </c>
      <c r="O221">
        <v>0.86</v>
      </c>
      <c r="P221">
        <v>186.55</v>
      </c>
      <c r="Q221" t="s">
        <v>35</v>
      </c>
      <c r="R221">
        <v>0.03</v>
      </c>
      <c r="S221">
        <v>173.16</v>
      </c>
      <c r="T221" s="1" t="s">
        <v>33</v>
      </c>
      <c r="U221" s="1" t="s">
        <v>34</v>
      </c>
    </row>
    <row r="222" spans="1:21" ht="12" customHeight="1" x14ac:dyDescent="0.3">
      <c r="A222">
        <v>2021</v>
      </c>
      <c r="B222">
        <v>1</v>
      </c>
      <c r="C222">
        <v>30194</v>
      </c>
      <c r="D222">
        <v>32467</v>
      </c>
      <c r="E222" t="s">
        <v>21</v>
      </c>
      <c r="F222" t="s">
        <v>22</v>
      </c>
      <c r="G222">
        <v>11298</v>
      </c>
      <c r="H222">
        <v>13303</v>
      </c>
      <c r="I222" t="s">
        <v>27</v>
      </c>
      <c r="J222" t="s">
        <v>26</v>
      </c>
      <c r="K222">
        <v>1121</v>
      </c>
      <c r="L222">
        <v>637</v>
      </c>
      <c r="M222">
        <v>250.41</v>
      </c>
      <c r="N222" t="s">
        <v>28</v>
      </c>
      <c r="O222">
        <v>0.89</v>
      </c>
      <c r="P222">
        <v>254.43</v>
      </c>
      <c r="Q222" t="s">
        <v>31</v>
      </c>
      <c r="R222">
        <v>0.03</v>
      </c>
      <c r="S222">
        <v>182.15</v>
      </c>
      <c r="T222" s="1" t="s">
        <v>33</v>
      </c>
      <c r="U222" s="1" t="s">
        <v>34</v>
      </c>
    </row>
    <row r="223" spans="1:21" ht="12" customHeight="1" x14ac:dyDescent="0.3">
      <c r="A223">
        <v>2021</v>
      </c>
      <c r="B223">
        <v>1</v>
      </c>
      <c r="C223">
        <v>30194</v>
      </c>
      <c r="D223">
        <v>32467</v>
      </c>
      <c r="E223" t="s">
        <v>21</v>
      </c>
      <c r="F223" t="s">
        <v>22</v>
      </c>
      <c r="G223">
        <v>11298</v>
      </c>
      <c r="H223">
        <v>11697</v>
      </c>
      <c r="I223" t="s">
        <v>27</v>
      </c>
      <c r="J223" t="s">
        <v>24</v>
      </c>
      <c r="K223">
        <v>1121</v>
      </c>
      <c r="L223">
        <v>832</v>
      </c>
      <c r="M223">
        <v>202.28</v>
      </c>
      <c r="N223" t="s">
        <v>28</v>
      </c>
      <c r="O223">
        <v>0.53</v>
      </c>
      <c r="P223">
        <v>249.98</v>
      </c>
      <c r="Q223" t="s">
        <v>29</v>
      </c>
      <c r="R223">
        <v>0.36</v>
      </c>
      <c r="S223">
        <v>117.01</v>
      </c>
      <c r="T223" s="1" t="s">
        <v>33</v>
      </c>
      <c r="U223" s="1" t="s">
        <v>34</v>
      </c>
    </row>
    <row r="224" spans="1:21" ht="12" customHeight="1" x14ac:dyDescent="0.3">
      <c r="A224">
        <v>2021</v>
      </c>
      <c r="B224">
        <v>2</v>
      </c>
      <c r="C224">
        <v>30194</v>
      </c>
      <c r="D224">
        <v>32467</v>
      </c>
      <c r="E224" t="s">
        <v>21</v>
      </c>
      <c r="F224" t="s">
        <v>22</v>
      </c>
      <c r="G224">
        <v>11298</v>
      </c>
      <c r="H224">
        <v>11697</v>
      </c>
      <c r="I224" t="s">
        <v>27</v>
      </c>
      <c r="J224" t="s">
        <v>24</v>
      </c>
      <c r="K224">
        <v>1121</v>
      </c>
      <c r="L224">
        <v>262</v>
      </c>
      <c r="M224">
        <v>259.60000000000002</v>
      </c>
      <c r="N224" t="s">
        <v>31</v>
      </c>
      <c r="O224">
        <v>0.48</v>
      </c>
      <c r="P224">
        <v>261.01</v>
      </c>
      <c r="Q224" t="s">
        <v>28</v>
      </c>
      <c r="R224">
        <v>0.37</v>
      </c>
      <c r="S224">
        <v>260.92</v>
      </c>
      <c r="T224" s="1" t="s">
        <v>33</v>
      </c>
      <c r="U224" s="1" t="s">
        <v>34</v>
      </c>
    </row>
    <row r="225" spans="1:21" ht="12" customHeight="1" x14ac:dyDescent="0.3">
      <c r="A225">
        <v>2021</v>
      </c>
      <c r="B225">
        <v>1</v>
      </c>
      <c r="C225">
        <v>30194</v>
      </c>
      <c r="D225">
        <v>32467</v>
      </c>
      <c r="E225" t="s">
        <v>21</v>
      </c>
      <c r="F225" t="s">
        <v>22</v>
      </c>
      <c r="G225">
        <v>11298</v>
      </c>
      <c r="H225">
        <v>11697</v>
      </c>
      <c r="I225" t="s">
        <v>27</v>
      </c>
      <c r="J225" t="s">
        <v>24</v>
      </c>
      <c r="K225">
        <v>1121</v>
      </c>
      <c r="L225">
        <v>537</v>
      </c>
      <c r="M225">
        <v>192.78</v>
      </c>
      <c r="N225" t="s">
        <v>28</v>
      </c>
      <c r="O225">
        <v>0.48</v>
      </c>
      <c r="P225">
        <v>200.35</v>
      </c>
      <c r="Q225" t="s">
        <v>31</v>
      </c>
      <c r="R225">
        <v>0.37</v>
      </c>
      <c r="S225">
        <v>181.75</v>
      </c>
      <c r="T225" s="1" t="s">
        <v>33</v>
      </c>
      <c r="U225" s="1" t="s">
        <v>34</v>
      </c>
    </row>
    <row r="226" spans="1:21" ht="12" customHeight="1" x14ac:dyDescent="0.3">
      <c r="A226">
        <v>2021</v>
      </c>
      <c r="B226">
        <v>4</v>
      </c>
      <c r="C226">
        <v>30194</v>
      </c>
      <c r="D226">
        <v>32467</v>
      </c>
      <c r="E226" t="s">
        <v>21</v>
      </c>
      <c r="F226" t="s">
        <v>22</v>
      </c>
      <c r="G226">
        <v>11298</v>
      </c>
      <c r="H226">
        <v>11697</v>
      </c>
      <c r="I226" t="s">
        <v>27</v>
      </c>
      <c r="J226" t="s">
        <v>24</v>
      </c>
      <c r="K226">
        <v>1121</v>
      </c>
      <c r="L226">
        <v>492</v>
      </c>
      <c r="M226">
        <v>220.23</v>
      </c>
      <c r="N226" t="s">
        <v>28</v>
      </c>
      <c r="O226">
        <v>0.81</v>
      </c>
      <c r="P226">
        <v>224.94</v>
      </c>
      <c r="Q226" t="s">
        <v>36</v>
      </c>
      <c r="R226">
        <v>0.01</v>
      </c>
      <c r="S226">
        <v>178.24</v>
      </c>
      <c r="T226" s="1" t="s">
        <v>33</v>
      </c>
      <c r="U226" s="1" t="s">
        <v>34</v>
      </c>
    </row>
    <row r="227" spans="1:21" ht="12" customHeight="1" x14ac:dyDescent="0.3">
      <c r="A227">
        <v>2021</v>
      </c>
      <c r="B227">
        <v>1</v>
      </c>
      <c r="C227">
        <v>30194</v>
      </c>
      <c r="D227">
        <v>32467</v>
      </c>
      <c r="E227" t="s">
        <v>21</v>
      </c>
      <c r="F227" t="s">
        <v>22</v>
      </c>
      <c r="G227">
        <v>11298</v>
      </c>
      <c r="H227">
        <v>13303</v>
      </c>
      <c r="I227" t="s">
        <v>27</v>
      </c>
      <c r="J227" t="s">
        <v>26</v>
      </c>
      <c r="K227">
        <v>1121</v>
      </c>
      <c r="L227">
        <v>492</v>
      </c>
      <c r="M227">
        <v>213.86</v>
      </c>
      <c r="N227" t="s">
        <v>28</v>
      </c>
      <c r="O227">
        <v>0.84</v>
      </c>
      <c r="P227">
        <v>216.9</v>
      </c>
      <c r="Q227" t="s">
        <v>32</v>
      </c>
      <c r="R227">
        <v>0.02</v>
      </c>
      <c r="S227">
        <v>146.03</v>
      </c>
      <c r="T227" s="1" t="s">
        <v>33</v>
      </c>
      <c r="U227" s="1" t="s">
        <v>34</v>
      </c>
    </row>
    <row r="228" spans="1:21" ht="12" customHeight="1" x14ac:dyDescent="0.3">
      <c r="A228">
        <v>2021</v>
      </c>
      <c r="B228">
        <v>2</v>
      </c>
      <c r="C228">
        <v>30194</v>
      </c>
      <c r="D228">
        <v>32467</v>
      </c>
      <c r="E228" t="s">
        <v>21</v>
      </c>
      <c r="F228" t="s">
        <v>22</v>
      </c>
      <c r="G228">
        <v>11259</v>
      </c>
      <c r="H228">
        <v>13303</v>
      </c>
      <c r="I228" t="s">
        <v>23</v>
      </c>
      <c r="J228" t="s">
        <v>26</v>
      </c>
      <c r="K228">
        <v>1121</v>
      </c>
      <c r="L228">
        <v>6</v>
      </c>
      <c r="M228">
        <v>156.28</v>
      </c>
      <c r="N228" t="s">
        <v>32</v>
      </c>
      <c r="O228">
        <v>0.64</v>
      </c>
      <c r="P228">
        <v>140.65</v>
      </c>
      <c r="Q228" t="s">
        <v>32</v>
      </c>
      <c r="R228">
        <v>0.64</v>
      </c>
      <c r="S228">
        <v>140.65</v>
      </c>
      <c r="T228" s="1" t="s">
        <v>33</v>
      </c>
      <c r="U228" s="1" t="s">
        <v>34</v>
      </c>
    </row>
    <row r="229" spans="1:21" ht="12" customHeight="1" x14ac:dyDescent="0.3">
      <c r="A229">
        <v>2021</v>
      </c>
      <c r="B229">
        <v>1</v>
      </c>
      <c r="C229">
        <v>30194</v>
      </c>
      <c r="D229">
        <v>32467</v>
      </c>
      <c r="E229" t="s">
        <v>21</v>
      </c>
      <c r="F229" t="s">
        <v>22</v>
      </c>
      <c r="G229">
        <v>11298</v>
      </c>
      <c r="H229">
        <v>13303</v>
      </c>
      <c r="I229" t="s">
        <v>27</v>
      </c>
      <c r="J229" t="s">
        <v>26</v>
      </c>
      <c r="K229">
        <v>1121</v>
      </c>
      <c r="L229">
        <v>542</v>
      </c>
      <c r="M229">
        <v>258.11</v>
      </c>
      <c r="N229" t="s">
        <v>28</v>
      </c>
      <c r="O229">
        <v>0.71</v>
      </c>
      <c r="P229">
        <v>290.54000000000002</v>
      </c>
      <c r="Q229" t="s">
        <v>32</v>
      </c>
      <c r="R229">
        <v>0.12</v>
      </c>
      <c r="S229">
        <v>125.38</v>
      </c>
      <c r="T229" s="1" t="s">
        <v>33</v>
      </c>
      <c r="U229" s="1" t="s">
        <v>34</v>
      </c>
    </row>
    <row r="230" spans="1:21" ht="12" customHeight="1" x14ac:dyDescent="0.3">
      <c r="A230">
        <v>2021</v>
      </c>
      <c r="B230">
        <v>3</v>
      </c>
      <c r="C230">
        <v>30194</v>
      </c>
      <c r="D230">
        <v>32467</v>
      </c>
      <c r="E230" t="s">
        <v>21</v>
      </c>
      <c r="F230" t="s">
        <v>22</v>
      </c>
      <c r="G230">
        <v>11259</v>
      </c>
      <c r="H230">
        <v>11697</v>
      </c>
      <c r="I230" t="s">
        <v>23</v>
      </c>
      <c r="J230" t="s">
        <v>24</v>
      </c>
      <c r="K230">
        <v>1121</v>
      </c>
      <c r="L230">
        <v>97</v>
      </c>
      <c r="M230">
        <v>183.81</v>
      </c>
      <c r="N230" t="s">
        <v>25</v>
      </c>
      <c r="O230">
        <v>0.96</v>
      </c>
      <c r="P230">
        <v>182.73</v>
      </c>
      <c r="Q230" t="s">
        <v>25</v>
      </c>
      <c r="R230">
        <v>0.96</v>
      </c>
      <c r="S230">
        <v>182.73</v>
      </c>
      <c r="T230" s="1" t="s">
        <v>33</v>
      </c>
      <c r="U230" s="1" t="s">
        <v>34</v>
      </c>
    </row>
    <row r="231" spans="1:21" ht="12" customHeight="1" x14ac:dyDescent="0.3">
      <c r="A231">
        <v>2021</v>
      </c>
      <c r="B231">
        <v>2</v>
      </c>
      <c r="C231">
        <v>30194</v>
      </c>
      <c r="D231">
        <v>32467</v>
      </c>
      <c r="E231" t="s">
        <v>21</v>
      </c>
      <c r="F231" t="s">
        <v>22</v>
      </c>
      <c r="G231">
        <v>11259</v>
      </c>
      <c r="H231">
        <v>13303</v>
      </c>
      <c r="I231" t="s">
        <v>23</v>
      </c>
      <c r="J231" t="s">
        <v>26</v>
      </c>
      <c r="K231">
        <v>1121</v>
      </c>
      <c r="L231">
        <v>3</v>
      </c>
      <c r="M231">
        <v>237.51</v>
      </c>
      <c r="N231" t="s">
        <v>32</v>
      </c>
      <c r="O231">
        <v>1</v>
      </c>
      <c r="P231">
        <v>237.51</v>
      </c>
      <c r="Q231" t="s">
        <v>32</v>
      </c>
      <c r="R231">
        <v>1</v>
      </c>
      <c r="S231">
        <v>237.51</v>
      </c>
      <c r="T231" s="1" t="s">
        <v>33</v>
      </c>
      <c r="U231" s="1" t="s">
        <v>34</v>
      </c>
    </row>
    <row r="232" spans="1:21" ht="12" customHeight="1" x14ac:dyDescent="0.3">
      <c r="A232">
        <v>2021</v>
      </c>
      <c r="B232">
        <v>4</v>
      </c>
      <c r="C232">
        <v>30194</v>
      </c>
      <c r="D232">
        <v>32467</v>
      </c>
      <c r="E232" t="s">
        <v>21</v>
      </c>
      <c r="F232" t="s">
        <v>22</v>
      </c>
      <c r="G232">
        <v>11298</v>
      </c>
      <c r="H232">
        <v>13303</v>
      </c>
      <c r="I232" t="s">
        <v>27</v>
      </c>
      <c r="J232" t="s">
        <v>26</v>
      </c>
      <c r="K232">
        <v>1121</v>
      </c>
      <c r="L232">
        <v>490</v>
      </c>
      <c r="M232">
        <v>193.1</v>
      </c>
      <c r="N232" t="s">
        <v>28</v>
      </c>
      <c r="O232">
        <v>0.8</v>
      </c>
      <c r="P232">
        <v>195.34</v>
      </c>
      <c r="Q232" t="s">
        <v>36</v>
      </c>
      <c r="R232">
        <v>0.01</v>
      </c>
      <c r="S232">
        <v>123.95</v>
      </c>
      <c r="T232" s="1" t="s">
        <v>33</v>
      </c>
      <c r="U232" s="1" t="s">
        <v>34</v>
      </c>
    </row>
    <row r="233" spans="1:21" ht="12" customHeight="1" x14ac:dyDescent="0.3">
      <c r="A233">
        <v>2021</v>
      </c>
      <c r="B233">
        <v>4</v>
      </c>
      <c r="C233">
        <v>30194</v>
      </c>
      <c r="D233">
        <v>32467</v>
      </c>
      <c r="E233" t="s">
        <v>21</v>
      </c>
      <c r="F233" t="s">
        <v>22</v>
      </c>
      <c r="G233">
        <v>11298</v>
      </c>
      <c r="H233">
        <v>11697</v>
      </c>
      <c r="I233" t="s">
        <v>27</v>
      </c>
      <c r="J233" t="s">
        <v>24</v>
      </c>
      <c r="K233">
        <v>1121</v>
      </c>
      <c r="L233">
        <v>599</v>
      </c>
      <c r="M233">
        <v>195.99</v>
      </c>
      <c r="N233" t="s">
        <v>28</v>
      </c>
      <c r="O233">
        <v>0.49</v>
      </c>
      <c r="P233">
        <v>211.93</v>
      </c>
      <c r="Q233" t="s">
        <v>31</v>
      </c>
      <c r="R233">
        <v>0.39</v>
      </c>
      <c r="S233">
        <v>178.99</v>
      </c>
      <c r="T233" s="1" t="s">
        <v>33</v>
      </c>
      <c r="U233" s="1" t="s">
        <v>34</v>
      </c>
    </row>
    <row r="234" spans="1:21" ht="12" customHeight="1" x14ac:dyDescent="0.3">
      <c r="A234">
        <v>2021</v>
      </c>
      <c r="B234">
        <v>2</v>
      </c>
      <c r="C234">
        <v>30194</v>
      </c>
      <c r="D234">
        <v>32467</v>
      </c>
      <c r="E234" t="s">
        <v>21</v>
      </c>
      <c r="F234" t="s">
        <v>22</v>
      </c>
      <c r="G234">
        <v>11259</v>
      </c>
      <c r="H234">
        <v>11697</v>
      </c>
      <c r="I234" t="s">
        <v>23</v>
      </c>
      <c r="J234" t="s">
        <v>24</v>
      </c>
      <c r="K234">
        <v>1121</v>
      </c>
      <c r="L234">
        <v>75</v>
      </c>
      <c r="M234">
        <v>188.39</v>
      </c>
      <c r="N234" t="s">
        <v>25</v>
      </c>
      <c r="O234">
        <v>0.93</v>
      </c>
      <c r="P234">
        <v>190.34</v>
      </c>
      <c r="Q234" t="s">
        <v>32</v>
      </c>
      <c r="R234">
        <v>0.05</v>
      </c>
      <c r="S234">
        <v>153.41</v>
      </c>
      <c r="T234" s="1" t="s">
        <v>33</v>
      </c>
      <c r="U234" s="1" t="s">
        <v>34</v>
      </c>
    </row>
    <row r="235" spans="1:21" ht="12" customHeight="1" x14ac:dyDescent="0.3">
      <c r="A235">
        <v>2021</v>
      </c>
      <c r="B235">
        <v>4</v>
      </c>
      <c r="C235">
        <v>30194</v>
      </c>
      <c r="D235">
        <v>32467</v>
      </c>
      <c r="E235" t="s">
        <v>21</v>
      </c>
      <c r="F235" t="s">
        <v>22</v>
      </c>
      <c r="G235">
        <v>11259</v>
      </c>
      <c r="H235">
        <v>13303</v>
      </c>
      <c r="I235" t="s">
        <v>23</v>
      </c>
      <c r="J235" t="s">
        <v>26</v>
      </c>
      <c r="K235">
        <v>1121</v>
      </c>
      <c r="L235">
        <v>11</v>
      </c>
      <c r="M235">
        <v>158.38</v>
      </c>
      <c r="N235" t="s">
        <v>32</v>
      </c>
      <c r="O235">
        <v>0.62</v>
      </c>
      <c r="P235">
        <v>169.26</v>
      </c>
      <c r="Q235" t="s">
        <v>31</v>
      </c>
      <c r="R235">
        <v>0.34</v>
      </c>
      <c r="S235">
        <v>123.94</v>
      </c>
      <c r="T235" s="1" t="s">
        <v>33</v>
      </c>
      <c r="U235" s="1" t="s">
        <v>34</v>
      </c>
    </row>
    <row r="236" spans="1:21" ht="12" customHeight="1" x14ac:dyDescent="0.3">
      <c r="A236">
        <v>2021</v>
      </c>
      <c r="B236">
        <v>2</v>
      </c>
      <c r="C236">
        <v>30194</v>
      </c>
      <c r="D236">
        <v>32467</v>
      </c>
      <c r="E236" t="s">
        <v>21</v>
      </c>
      <c r="F236" t="s">
        <v>22</v>
      </c>
      <c r="G236">
        <v>11298</v>
      </c>
      <c r="H236">
        <v>13303</v>
      </c>
      <c r="I236" t="s">
        <v>27</v>
      </c>
      <c r="J236" t="s">
        <v>26</v>
      </c>
      <c r="K236">
        <v>1121</v>
      </c>
      <c r="L236">
        <v>617</v>
      </c>
      <c r="M236">
        <v>200.96</v>
      </c>
      <c r="N236" t="s">
        <v>28</v>
      </c>
      <c r="O236">
        <v>0.84</v>
      </c>
      <c r="P236">
        <v>208.88</v>
      </c>
      <c r="Q236" t="s">
        <v>35</v>
      </c>
      <c r="R236">
        <v>0.01</v>
      </c>
      <c r="S236">
        <v>129.57</v>
      </c>
      <c r="T236" s="1" t="s">
        <v>33</v>
      </c>
      <c r="U236" s="1" t="s">
        <v>34</v>
      </c>
    </row>
    <row r="237" spans="1:21" ht="12" customHeight="1" x14ac:dyDescent="0.3">
      <c r="A237">
        <v>2021</v>
      </c>
      <c r="B237">
        <v>3</v>
      </c>
      <c r="C237">
        <v>30194</v>
      </c>
      <c r="D237">
        <v>32467</v>
      </c>
      <c r="E237" t="s">
        <v>21</v>
      </c>
      <c r="F237" t="s">
        <v>22</v>
      </c>
      <c r="G237">
        <v>11298</v>
      </c>
      <c r="H237">
        <v>11697</v>
      </c>
      <c r="I237" t="s">
        <v>27</v>
      </c>
      <c r="J237" t="s">
        <v>24</v>
      </c>
      <c r="K237">
        <v>1121</v>
      </c>
      <c r="L237">
        <v>461</v>
      </c>
      <c r="M237">
        <v>206.33</v>
      </c>
      <c r="N237" t="s">
        <v>28</v>
      </c>
      <c r="O237">
        <v>0.51</v>
      </c>
      <c r="P237">
        <v>215.09</v>
      </c>
      <c r="Q237" t="s">
        <v>31</v>
      </c>
      <c r="R237">
        <v>0.34</v>
      </c>
      <c r="S237">
        <v>205.77</v>
      </c>
      <c r="T237" s="1" t="s">
        <v>33</v>
      </c>
      <c r="U237" s="1" t="s">
        <v>34</v>
      </c>
    </row>
    <row r="238" spans="1:21" ht="12" customHeight="1" x14ac:dyDescent="0.3">
      <c r="A238">
        <v>2021</v>
      </c>
      <c r="B238">
        <v>1</v>
      </c>
      <c r="C238">
        <v>30194</v>
      </c>
      <c r="D238">
        <v>32467</v>
      </c>
      <c r="E238" t="s">
        <v>21</v>
      </c>
      <c r="F238" t="s">
        <v>22</v>
      </c>
      <c r="G238">
        <v>11259</v>
      </c>
      <c r="H238">
        <v>13303</v>
      </c>
      <c r="I238" t="s">
        <v>23</v>
      </c>
      <c r="J238" t="s">
        <v>26</v>
      </c>
      <c r="K238">
        <v>1121</v>
      </c>
      <c r="L238">
        <v>1</v>
      </c>
      <c r="M238">
        <v>245.23</v>
      </c>
      <c r="N238" t="s">
        <v>32</v>
      </c>
      <c r="O238">
        <v>1</v>
      </c>
      <c r="P238">
        <v>245.23</v>
      </c>
      <c r="Q238" t="s">
        <v>32</v>
      </c>
      <c r="R238">
        <v>1</v>
      </c>
      <c r="S238">
        <v>245.23</v>
      </c>
      <c r="T238" s="1" t="s">
        <v>33</v>
      </c>
      <c r="U238" s="1" t="s">
        <v>34</v>
      </c>
    </row>
    <row r="239" spans="1:21" ht="12" customHeight="1" x14ac:dyDescent="0.3">
      <c r="A239">
        <v>2021</v>
      </c>
      <c r="B239">
        <v>4</v>
      </c>
      <c r="C239">
        <v>30194</v>
      </c>
      <c r="D239">
        <v>32467</v>
      </c>
      <c r="E239" t="s">
        <v>21</v>
      </c>
      <c r="F239" t="s">
        <v>22</v>
      </c>
      <c r="G239">
        <v>11259</v>
      </c>
      <c r="H239">
        <v>11697</v>
      </c>
      <c r="I239" t="s">
        <v>23</v>
      </c>
      <c r="J239" t="s">
        <v>24</v>
      </c>
      <c r="K239">
        <v>1121</v>
      </c>
      <c r="L239">
        <v>83</v>
      </c>
      <c r="M239">
        <v>210.61</v>
      </c>
      <c r="N239" t="s">
        <v>25</v>
      </c>
      <c r="O239">
        <v>0.93</v>
      </c>
      <c r="P239">
        <v>209.15</v>
      </c>
      <c r="Q239" t="s">
        <v>31</v>
      </c>
      <c r="R239">
        <v>0.02</v>
      </c>
      <c r="S239">
        <v>164.33</v>
      </c>
      <c r="T239" s="1" t="s">
        <v>33</v>
      </c>
      <c r="U239" s="1" t="s">
        <v>34</v>
      </c>
    </row>
    <row r="240" spans="1:21" ht="12" customHeight="1" x14ac:dyDescent="0.3">
      <c r="A240">
        <v>2021</v>
      </c>
      <c r="B240">
        <v>1</v>
      </c>
      <c r="C240">
        <v>30194</v>
      </c>
      <c r="D240">
        <v>32467</v>
      </c>
      <c r="E240" t="s">
        <v>21</v>
      </c>
      <c r="F240" t="s">
        <v>22</v>
      </c>
      <c r="G240">
        <v>11259</v>
      </c>
      <c r="H240">
        <v>11697</v>
      </c>
      <c r="I240" t="s">
        <v>23</v>
      </c>
      <c r="J240" t="s">
        <v>24</v>
      </c>
      <c r="K240">
        <v>1121</v>
      </c>
      <c r="L240">
        <v>72</v>
      </c>
      <c r="M240">
        <v>216.19</v>
      </c>
      <c r="N240" t="s">
        <v>25</v>
      </c>
      <c r="O240">
        <v>0.93</v>
      </c>
      <c r="P240">
        <v>216.62</v>
      </c>
      <c r="Q240" t="s">
        <v>32</v>
      </c>
      <c r="R240">
        <v>0.06</v>
      </c>
      <c r="S240">
        <v>207.08</v>
      </c>
      <c r="T240" s="1" t="s">
        <v>33</v>
      </c>
      <c r="U240" s="1" t="s">
        <v>34</v>
      </c>
    </row>
    <row r="241" spans="1:21" ht="12" customHeight="1" x14ac:dyDescent="0.3">
      <c r="A241">
        <v>2021</v>
      </c>
      <c r="B241">
        <v>2</v>
      </c>
      <c r="C241">
        <v>30194</v>
      </c>
      <c r="D241">
        <v>32467</v>
      </c>
      <c r="E241" t="s">
        <v>21</v>
      </c>
      <c r="F241" t="s">
        <v>22</v>
      </c>
      <c r="G241">
        <v>11259</v>
      </c>
      <c r="H241">
        <v>13303</v>
      </c>
      <c r="I241" t="s">
        <v>23</v>
      </c>
      <c r="J241" t="s">
        <v>26</v>
      </c>
      <c r="K241">
        <v>1121</v>
      </c>
      <c r="L241">
        <v>8</v>
      </c>
      <c r="M241">
        <v>221.8</v>
      </c>
      <c r="N241" t="s">
        <v>31</v>
      </c>
      <c r="O241">
        <v>1</v>
      </c>
      <c r="P241">
        <v>221.8</v>
      </c>
      <c r="Q241" t="s">
        <v>31</v>
      </c>
      <c r="R241">
        <v>1</v>
      </c>
      <c r="S241">
        <v>221.8</v>
      </c>
    </row>
    <row r="242" spans="1:21" ht="12" customHeight="1" x14ac:dyDescent="0.3">
      <c r="A242">
        <v>2021</v>
      </c>
      <c r="B242">
        <v>2</v>
      </c>
      <c r="C242">
        <v>30194</v>
      </c>
      <c r="D242">
        <v>32467</v>
      </c>
      <c r="E242" t="s">
        <v>21</v>
      </c>
      <c r="F242" t="s">
        <v>22</v>
      </c>
      <c r="G242">
        <v>11259</v>
      </c>
      <c r="H242">
        <v>13303</v>
      </c>
      <c r="I242" t="s">
        <v>23</v>
      </c>
      <c r="J242" t="s">
        <v>26</v>
      </c>
      <c r="K242">
        <v>1121</v>
      </c>
      <c r="L242">
        <v>6</v>
      </c>
      <c r="M242">
        <v>178.85</v>
      </c>
      <c r="N242" t="s">
        <v>32</v>
      </c>
      <c r="O242">
        <v>0.66</v>
      </c>
      <c r="P242">
        <v>191.95</v>
      </c>
      <c r="Q242" t="s">
        <v>31</v>
      </c>
      <c r="R242">
        <v>0.19</v>
      </c>
      <c r="S242">
        <v>143.09</v>
      </c>
      <c r="T242" s="1" t="s">
        <v>33</v>
      </c>
      <c r="U242" s="1" t="s">
        <v>34</v>
      </c>
    </row>
    <row r="243" spans="1:21" ht="12" customHeight="1" x14ac:dyDescent="0.3">
      <c r="A243">
        <v>2021</v>
      </c>
      <c r="B243">
        <v>3</v>
      </c>
      <c r="C243">
        <v>30194</v>
      </c>
      <c r="D243">
        <v>32467</v>
      </c>
      <c r="E243" t="s">
        <v>21</v>
      </c>
      <c r="F243" t="s">
        <v>22</v>
      </c>
      <c r="G243">
        <v>11298</v>
      </c>
      <c r="H243">
        <v>11697</v>
      </c>
      <c r="I243" t="s">
        <v>27</v>
      </c>
      <c r="J243" t="s">
        <v>24</v>
      </c>
      <c r="K243">
        <v>1121</v>
      </c>
      <c r="L243">
        <v>880</v>
      </c>
      <c r="M243">
        <v>188.77</v>
      </c>
      <c r="N243" t="s">
        <v>28</v>
      </c>
      <c r="O243">
        <v>0.53</v>
      </c>
      <c r="P243">
        <v>221.02</v>
      </c>
      <c r="Q243" t="s">
        <v>29</v>
      </c>
      <c r="R243">
        <v>0.33</v>
      </c>
      <c r="S243">
        <v>125.11</v>
      </c>
      <c r="T243" s="1" t="s">
        <v>33</v>
      </c>
      <c r="U243" s="1" t="s">
        <v>34</v>
      </c>
    </row>
    <row r="244" spans="1:21" ht="12" customHeight="1" x14ac:dyDescent="0.3">
      <c r="A244">
        <v>2021</v>
      </c>
      <c r="B244">
        <v>1</v>
      </c>
      <c r="C244">
        <v>30194</v>
      </c>
      <c r="D244">
        <v>32467</v>
      </c>
      <c r="E244" t="s">
        <v>21</v>
      </c>
      <c r="F244" t="s">
        <v>22</v>
      </c>
      <c r="G244">
        <v>11259</v>
      </c>
      <c r="H244">
        <v>11697</v>
      </c>
      <c r="I244" t="s">
        <v>23</v>
      </c>
      <c r="J244" t="s">
        <v>24</v>
      </c>
      <c r="K244">
        <v>1121</v>
      </c>
      <c r="L244">
        <v>12</v>
      </c>
      <c r="M244">
        <v>253</v>
      </c>
      <c r="N244" t="s">
        <v>25</v>
      </c>
      <c r="O244">
        <v>0.43</v>
      </c>
      <c r="P244">
        <v>312.37</v>
      </c>
      <c r="Q244" t="s">
        <v>31</v>
      </c>
      <c r="R244">
        <v>0.14000000000000001</v>
      </c>
      <c r="S244">
        <v>188.52</v>
      </c>
      <c r="T244" s="1" t="s">
        <v>33</v>
      </c>
      <c r="U244" s="1" t="s">
        <v>34</v>
      </c>
    </row>
    <row r="245" spans="1:21" ht="12" customHeight="1" x14ac:dyDescent="0.3">
      <c r="A245">
        <v>2021</v>
      </c>
      <c r="B245">
        <v>3</v>
      </c>
      <c r="C245">
        <v>30194</v>
      </c>
      <c r="D245">
        <v>32467</v>
      </c>
      <c r="E245" t="s">
        <v>21</v>
      </c>
      <c r="F245" t="s">
        <v>22</v>
      </c>
      <c r="G245">
        <v>11259</v>
      </c>
      <c r="H245">
        <v>13303</v>
      </c>
      <c r="I245" t="s">
        <v>23</v>
      </c>
      <c r="J245" t="s">
        <v>26</v>
      </c>
      <c r="K245">
        <v>1121</v>
      </c>
      <c r="L245">
        <v>11</v>
      </c>
      <c r="M245">
        <v>160.66999999999999</v>
      </c>
      <c r="N245" t="s">
        <v>32</v>
      </c>
      <c r="O245">
        <v>0.95</v>
      </c>
      <c r="P245">
        <v>158.77000000000001</v>
      </c>
      <c r="Q245" t="s">
        <v>32</v>
      </c>
      <c r="R245">
        <v>0.95</v>
      </c>
      <c r="S245">
        <v>158.77000000000001</v>
      </c>
      <c r="T245" s="1" t="s">
        <v>33</v>
      </c>
      <c r="U245" s="1" t="s">
        <v>34</v>
      </c>
    </row>
    <row r="246" spans="1:21" ht="12" customHeight="1" x14ac:dyDescent="0.3">
      <c r="A246">
        <v>2021</v>
      </c>
      <c r="B246">
        <v>2</v>
      </c>
      <c r="C246">
        <v>30194</v>
      </c>
      <c r="D246">
        <v>32467</v>
      </c>
      <c r="E246" t="s">
        <v>21</v>
      </c>
      <c r="F246" t="s">
        <v>22</v>
      </c>
      <c r="G246">
        <v>11259</v>
      </c>
      <c r="H246">
        <v>13303</v>
      </c>
      <c r="I246" t="s">
        <v>23</v>
      </c>
      <c r="J246" t="s">
        <v>26</v>
      </c>
      <c r="K246">
        <v>1121</v>
      </c>
      <c r="L246">
        <v>8</v>
      </c>
      <c r="M246">
        <v>197.21</v>
      </c>
      <c r="N246" t="s">
        <v>32</v>
      </c>
      <c r="O246">
        <v>0.9</v>
      </c>
      <c r="P246">
        <v>199.31</v>
      </c>
      <c r="Q246" t="s">
        <v>31</v>
      </c>
      <c r="R246">
        <v>0.09</v>
      </c>
      <c r="S246">
        <v>176.78</v>
      </c>
      <c r="T246" s="1" t="s">
        <v>33</v>
      </c>
      <c r="U246" s="1" t="s">
        <v>34</v>
      </c>
    </row>
    <row r="247" spans="1:21" ht="12" customHeight="1" x14ac:dyDescent="0.3">
      <c r="A247">
        <v>2021</v>
      </c>
      <c r="B247">
        <v>1</v>
      </c>
      <c r="C247">
        <v>30194</v>
      </c>
      <c r="D247">
        <v>32467</v>
      </c>
      <c r="E247" t="s">
        <v>21</v>
      </c>
      <c r="F247" t="s">
        <v>22</v>
      </c>
      <c r="G247">
        <v>11259</v>
      </c>
      <c r="H247">
        <v>11697</v>
      </c>
      <c r="I247" t="s">
        <v>23</v>
      </c>
      <c r="J247" t="s">
        <v>24</v>
      </c>
      <c r="K247">
        <v>1121</v>
      </c>
      <c r="L247">
        <v>96</v>
      </c>
      <c r="M247">
        <v>213.22</v>
      </c>
      <c r="N247" t="s">
        <v>25</v>
      </c>
      <c r="O247">
        <v>0.93</v>
      </c>
      <c r="P247">
        <v>212.77</v>
      </c>
      <c r="Q247" t="s">
        <v>37</v>
      </c>
      <c r="R247">
        <v>0.04</v>
      </c>
      <c r="S247">
        <v>183.44</v>
      </c>
      <c r="T247" s="1" t="s">
        <v>33</v>
      </c>
      <c r="U247" s="1" t="s">
        <v>34</v>
      </c>
    </row>
    <row r="248" spans="1:21" ht="12" customHeight="1" x14ac:dyDescent="0.3">
      <c r="A248">
        <v>2021</v>
      </c>
      <c r="B248">
        <v>4</v>
      </c>
      <c r="C248">
        <v>30194</v>
      </c>
      <c r="D248">
        <v>32467</v>
      </c>
      <c r="E248" t="s">
        <v>21</v>
      </c>
      <c r="F248" t="s">
        <v>22</v>
      </c>
      <c r="G248">
        <v>11259</v>
      </c>
      <c r="H248">
        <v>13303</v>
      </c>
      <c r="I248" t="s">
        <v>23</v>
      </c>
      <c r="J248" t="s">
        <v>26</v>
      </c>
      <c r="K248">
        <v>1121</v>
      </c>
      <c r="L248">
        <v>4</v>
      </c>
      <c r="M248">
        <v>160.58000000000001</v>
      </c>
      <c r="N248" t="s">
        <v>32</v>
      </c>
      <c r="O248">
        <v>0.97</v>
      </c>
      <c r="P248">
        <v>151.97</v>
      </c>
      <c r="Q248" t="s">
        <v>32</v>
      </c>
      <c r="R248">
        <v>0.97</v>
      </c>
      <c r="S248">
        <v>151.97</v>
      </c>
      <c r="T248" s="1" t="s">
        <v>33</v>
      </c>
      <c r="U248" s="1" t="s">
        <v>34</v>
      </c>
    </row>
    <row r="249" spans="1:21" ht="12" customHeight="1" x14ac:dyDescent="0.3">
      <c r="A249">
        <v>2021</v>
      </c>
      <c r="B249">
        <v>4</v>
      </c>
      <c r="C249">
        <v>30194</v>
      </c>
      <c r="D249">
        <v>32467</v>
      </c>
      <c r="E249" t="s">
        <v>21</v>
      </c>
      <c r="F249" t="s">
        <v>22</v>
      </c>
      <c r="G249">
        <v>11259</v>
      </c>
      <c r="H249">
        <v>11697</v>
      </c>
      <c r="I249" t="s">
        <v>23</v>
      </c>
      <c r="J249" t="s">
        <v>24</v>
      </c>
      <c r="K249">
        <v>1121</v>
      </c>
      <c r="L249">
        <v>9</v>
      </c>
      <c r="M249">
        <v>154.69</v>
      </c>
      <c r="N249" t="s">
        <v>32</v>
      </c>
      <c r="O249">
        <v>0.8</v>
      </c>
      <c r="P249">
        <v>121.78</v>
      </c>
      <c r="Q249" t="s">
        <v>32</v>
      </c>
      <c r="R249">
        <v>0.8</v>
      </c>
      <c r="S249">
        <v>121.78</v>
      </c>
      <c r="T249" s="1" t="s">
        <v>33</v>
      </c>
      <c r="U249" s="1" t="s">
        <v>34</v>
      </c>
    </row>
    <row r="250" spans="1:21" ht="12" customHeight="1" x14ac:dyDescent="0.3">
      <c r="A250">
        <v>2021</v>
      </c>
      <c r="B250">
        <v>3</v>
      </c>
      <c r="C250">
        <v>30194</v>
      </c>
      <c r="D250">
        <v>32467</v>
      </c>
      <c r="E250" t="s">
        <v>21</v>
      </c>
      <c r="F250" t="s">
        <v>22</v>
      </c>
      <c r="G250">
        <v>11298</v>
      </c>
      <c r="H250">
        <v>13303</v>
      </c>
      <c r="I250" t="s">
        <v>27</v>
      </c>
      <c r="J250" t="s">
        <v>26</v>
      </c>
      <c r="K250">
        <v>1121</v>
      </c>
      <c r="L250">
        <v>585</v>
      </c>
      <c r="M250">
        <v>263.32</v>
      </c>
      <c r="N250" t="s">
        <v>28</v>
      </c>
      <c r="O250">
        <v>0.85</v>
      </c>
      <c r="P250">
        <v>270.08999999999997</v>
      </c>
      <c r="Q250" t="s">
        <v>31</v>
      </c>
      <c r="R250">
        <v>0.04</v>
      </c>
      <c r="S250">
        <v>179.29</v>
      </c>
      <c r="T250" s="1" t="s">
        <v>33</v>
      </c>
      <c r="U250" s="1" t="s">
        <v>34</v>
      </c>
    </row>
    <row r="251" spans="1:21" ht="12" customHeight="1" x14ac:dyDescent="0.3">
      <c r="A251">
        <v>2021</v>
      </c>
      <c r="B251">
        <v>4</v>
      </c>
      <c r="C251">
        <v>30194</v>
      </c>
      <c r="D251">
        <v>32467</v>
      </c>
      <c r="E251" t="s">
        <v>21</v>
      </c>
      <c r="F251" t="s">
        <v>22</v>
      </c>
      <c r="G251">
        <v>11259</v>
      </c>
      <c r="H251">
        <v>13303</v>
      </c>
      <c r="I251" t="s">
        <v>23</v>
      </c>
      <c r="J251" t="s">
        <v>26</v>
      </c>
      <c r="K251">
        <v>1121</v>
      </c>
      <c r="L251">
        <v>6</v>
      </c>
      <c r="M251">
        <v>198.62</v>
      </c>
      <c r="N251" t="s">
        <v>31</v>
      </c>
      <c r="O251">
        <v>0.69</v>
      </c>
      <c r="P251">
        <v>189.2</v>
      </c>
      <c r="Q251" t="s">
        <v>31</v>
      </c>
      <c r="R251">
        <v>0.69</v>
      </c>
      <c r="S251">
        <v>189.2</v>
      </c>
      <c r="T251" s="1" t="s">
        <v>33</v>
      </c>
      <c r="U251" s="1" t="s">
        <v>34</v>
      </c>
    </row>
    <row r="252" spans="1:21" ht="12" customHeight="1" x14ac:dyDescent="0.3">
      <c r="A252">
        <v>2021</v>
      </c>
      <c r="B252">
        <v>4</v>
      </c>
      <c r="C252">
        <v>30194</v>
      </c>
      <c r="D252">
        <v>32467</v>
      </c>
      <c r="E252" t="s">
        <v>21</v>
      </c>
      <c r="F252" t="s">
        <v>22</v>
      </c>
      <c r="G252">
        <v>11259</v>
      </c>
      <c r="H252">
        <v>13303</v>
      </c>
      <c r="I252" t="s">
        <v>23</v>
      </c>
      <c r="J252" t="s">
        <v>26</v>
      </c>
      <c r="K252">
        <v>1121</v>
      </c>
      <c r="L252">
        <v>2</v>
      </c>
      <c r="M252">
        <v>150.77000000000001</v>
      </c>
      <c r="N252" t="s">
        <v>32</v>
      </c>
      <c r="O252">
        <v>1</v>
      </c>
      <c r="P252">
        <v>150.77000000000001</v>
      </c>
      <c r="Q252" t="s">
        <v>32</v>
      </c>
      <c r="R252">
        <v>1</v>
      </c>
      <c r="S252">
        <v>150.77000000000001</v>
      </c>
      <c r="T252" s="1" t="s">
        <v>33</v>
      </c>
      <c r="U252" s="1" t="s">
        <v>34</v>
      </c>
    </row>
    <row r="253" spans="1:21" ht="12" customHeight="1" x14ac:dyDescent="0.3">
      <c r="A253">
        <v>2021</v>
      </c>
      <c r="B253">
        <v>3</v>
      </c>
      <c r="C253">
        <v>30194</v>
      </c>
      <c r="D253">
        <v>32467</v>
      </c>
      <c r="E253" t="s">
        <v>21</v>
      </c>
      <c r="F253" t="s">
        <v>22</v>
      </c>
      <c r="G253">
        <v>11298</v>
      </c>
      <c r="H253">
        <v>11697</v>
      </c>
      <c r="I253" t="s">
        <v>27</v>
      </c>
      <c r="J253" t="s">
        <v>24</v>
      </c>
      <c r="K253">
        <v>1121</v>
      </c>
      <c r="L253">
        <v>872</v>
      </c>
      <c r="M253">
        <v>151.9</v>
      </c>
      <c r="N253" t="s">
        <v>28</v>
      </c>
      <c r="O253">
        <v>0.65</v>
      </c>
      <c r="P253">
        <v>166.7</v>
      </c>
      <c r="Q253" t="s">
        <v>29</v>
      </c>
      <c r="R253">
        <v>0.27</v>
      </c>
      <c r="S253">
        <v>106.02</v>
      </c>
      <c r="T253" s="1" t="s">
        <v>33</v>
      </c>
      <c r="U253" s="1" t="s">
        <v>34</v>
      </c>
    </row>
    <row r="254" spans="1:21" ht="12" customHeight="1" x14ac:dyDescent="0.3">
      <c r="A254">
        <v>2021</v>
      </c>
      <c r="B254">
        <v>1</v>
      </c>
      <c r="C254">
        <v>30194</v>
      </c>
      <c r="D254">
        <v>32467</v>
      </c>
      <c r="E254" t="s">
        <v>21</v>
      </c>
      <c r="F254" t="s">
        <v>22</v>
      </c>
      <c r="G254">
        <v>11259</v>
      </c>
      <c r="H254">
        <v>11697</v>
      </c>
      <c r="I254" t="s">
        <v>23</v>
      </c>
      <c r="J254" t="s">
        <v>24</v>
      </c>
      <c r="K254">
        <v>1121</v>
      </c>
      <c r="L254">
        <v>8</v>
      </c>
      <c r="M254">
        <v>193.76</v>
      </c>
      <c r="N254" t="s">
        <v>32</v>
      </c>
      <c r="O254">
        <v>0.71</v>
      </c>
      <c r="P254">
        <v>144.58000000000001</v>
      </c>
      <c r="Q254" t="s">
        <v>32</v>
      </c>
      <c r="R254">
        <v>0.71</v>
      </c>
      <c r="S254">
        <v>144.58000000000001</v>
      </c>
      <c r="T254" s="1" t="s">
        <v>33</v>
      </c>
      <c r="U254" s="1" t="s">
        <v>34</v>
      </c>
    </row>
    <row r="255" spans="1:21" ht="12" customHeight="1" x14ac:dyDescent="0.3">
      <c r="A255">
        <v>2021</v>
      </c>
      <c r="B255">
        <v>2</v>
      </c>
      <c r="C255">
        <v>30194</v>
      </c>
      <c r="D255">
        <v>32467</v>
      </c>
      <c r="E255" t="s">
        <v>21</v>
      </c>
      <c r="F255" t="s">
        <v>22</v>
      </c>
      <c r="G255">
        <v>11259</v>
      </c>
      <c r="H255">
        <v>11697</v>
      </c>
      <c r="I255" t="s">
        <v>23</v>
      </c>
      <c r="J255" t="s">
        <v>24</v>
      </c>
      <c r="K255">
        <v>1121</v>
      </c>
      <c r="L255">
        <v>119</v>
      </c>
      <c r="M255">
        <v>195.31</v>
      </c>
      <c r="N255" t="s">
        <v>25</v>
      </c>
      <c r="O255">
        <v>0.9</v>
      </c>
      <c r="P255">
        <v>194.78</v>
      </c>
      <c r="Q255" t="s">
        <v>31</v>
      </c>
      <c r="R255">
        <v>0.03</v>
      </c>
      <c r="S255">
        <v>176.72</v>
      </c>
      <c r="T255" s="1" t="s">
        <v>33</v>
      </c>
      <c r="U255" s="1" t="s">
        <v>34</v>
      </c>
    </row>
    <row r="256" spans="1:21" ht="12" customHeight="1" x14ac:dyDescent="0.3">
      <c r="A256">
        <v>2021</v>
      </c>
      <c r="B256">
        <v>1</v>
      </c>
      <c r="C256">
        <v>30194</v>
      </c>
      <c r="D256">
        <v>32467</v>
      </c>
      <c r="E256" t="s">
        <v>21</v>
      </c>
      <c r="F256" t="s">
        <v>22</v>
      </c>
      <c r="G256">
        <v>11298</v>
      </c>
      <c r="H256">
        <v>11697</v>
      </c>
      <c r="I256" t="s">
        <v>27</v>
      </c>
      <c r="J256" t="s">
        <v>24</v>
      </c>
      <c r="K256">
        <v>1121</v>
      </c>
      <c r="L256">
        <v>578</v>
      </c>
      <c r="M256">
        <v>207.71</v>
      </c>
      <c r="N256" t="s">
        <v>28</v>
      </c>
      <c r="O256">
        <v>0.62</v>
      </c>
      <c r="P256">
        <v>215.51</v>
      </c>
      <c r="Q256" t="s">
        <v>31</v>
      </c>
      <c r="R256">
        <v>0.25</v>
      </c>
      <c r="S256">
        <v>197.58</v>
      </c>
      <c r="T256" s="1" t="s">
        <v>33</v>
      </c>
      <c r="U256" s="1" t="s">
        <v>34</v>
      </c>
    </row>
    <row r="257" spans="1:21" ht="12" customHeight="1" x14ac:dyDescent="0.3">
      <c r="A257">
        <v>2021</v>
      </c>
      <c r="B257">
        <v>2</v>
      </c>
      <c r="C257">
        <v>30194</v>
      </c>
      <c r="D257">
        <v>32467</v>
      </c>
      <c r="E257" t="s">
        <v>21</v>
      </c>
      <c r="F257" t="s">
        <v>22</v>
      </c>
      <c r="G257">
        <v>11259</v>
      </c>
      <c r="H257">
        <v>11697</v>
      </c>
      <c r="I257" t="s">
        <v>23</v>
      </c>
      <c r="J257" t="s">
        <v>24</v>
      </c>
      <c r="K257">
        <v>1121</v>
      </c>
      <c r="L257">
        <v>8</v>
      </c>
      <c r="M257">
        <v>236.41</v>
      </c>
      <c r="N257" t="s">
        <v>25</v>
      </c>
      <c r="O257">
        <v>0.61</v>
      </c>
      <c r="P257">
        <v>266.23</v>
      </c>
      <c r="Q257" t="s">
        <v>32</v>
      </c>
      <c r="R257">
        <v>0.38</v>
      </c>
      <c r="S257">
        <v>188.06</v>
      </c>
      <c r="T257" s="1" t="s">
        <v>33</v>
      </c>
      <c r="U257" s="1" t="s">
        <v>34</v>
      </c>
    </row>
    <row r="258" spans="1:21" ht="12" customHeight="1" x14ac:dyDescent="0.3">
      <c r="A258">
        <v>2021</v>
      </c>
      <c r="B258">
        <v>3</v>
      </c>
      <c r="C258">
        <v>30194</v>
      </c>
      <c r="D258">
        <v>32467</v>
      </c>
      <c r="E258" t="s">
        <v>21</v>
      </c>
      <c r="F258" t="s">
        <v>22</v>
      </c>
      <c r="G258">
        <v>11259</v>
      </c>
      <c r="H258">
        <v>11697</v>
      </c>
      <c r="I258" t="s">
        <v>23</v>
      </c>
      <c r="J258" t="s">
        <v>24</v>
      </c>
      <c r="K258">
        <v>1121</v>
      </c>
      <c r="L258">
        <v>9</v>
      </c>
      <c r="M258">
        <v>223.54</v>
      </c>
      <c r="N258" t="s">
        <v>25</v>
      </c>
      <c r="O258">
        <v>0.54</v>
      </c>
      <c r="P258">
        <v>287.61</v>
      </c>
      <c r="Q258" t="s">
        <v>31</v>
      </c>
      <c r="R258">
        <v>0.14000000000000001</v>
      </c>
      <c r="S258">
        <v>125.26</v>
      </c>
      <c r="T258" s="1" t="s">
        <v>33</v>
      </c>
      <c r="U258" s="1" t="s">
        <v>34</v>
      </c>
    </row>
    <row r="259" spans="1:21" ht="12" customHeight="1" x14ac:dyDescent="0.3">
      <c r="A259">
        <v>2021</v>
      </c>
      <c r="B259">
        <v>3</v>
      </c>
      <c r="C259">
        <v>30194</v>
      </c>
      <c r="D259">
        <v>32467</v>
      </c>
      <c r="E259" t="s">
        <v>21</v>
      </c>
      <c r="F259" t="s">
        <v>22</v>
      </c>
      <c r="G259">
        <v>11259</v>
      </c>
      <c r="H259">
        <v>11697</v>
      </c>
      <c r="I259" t="s">
        <v>23</v>
      </c>
      <c r="J259" t="s">
        <v>24</v>
      </c>
      <c r="K259">
        <v>1121</v>
      </c>
      <c r="L259">
        <v>71</v>
      </c>
      <c r="M259">
        <v>183.94</v>
      </c>
      <c r="N259" t="s">
        <v>25</v>
      </c>
      <c r="O259">
        <v>0.9</v>
      </c>
      <c r="P259">
        <v>184.84</v>
      </c>
      <c r="Q259" t="s">
        <v>36</v>
      </c>
      <c r="R259">
        <v>0.01</v>
      </c>
      <c r="S259">
        <v>121.35</v>
      </c>
      <c r="T259" s="1" t="s">
        <v>33</v>
      </c>
      <c r="U259" s="1" t="s">
        <v>34</v>
      </c>
    </row>
    <row r="260" spans="1:21" ht="12" customHeight="1" x14ac:dyDescent="0.3">
      <c r="A260">
        <v>2021</v>
      </c>
      <c r="B260">
        <v>3</v>
      </c>
      <c r="C260">
        <v>30194</v>
      </c>
      <c r="D260">
        <v>32467</v>
      </c>
      <c r="E260" t="s">
        <v>21</v>
      </c>
      <c r="F260" t="s">
        <v>22</v>
      </c>
      <c r="G260">
        <v>11259</v>
      </c>
      <c r="H260">
        <v>11697</v>
      </c>
      <c r="I260" t="s">
        <v>23</v>
      </c>
      <c r="J260" t="s">
        <v>24</v>
      </c>
      <c r="K260">
        <v>1121</v>
      </c>
      <c r="L260">
        <v>7</v>
      </c>
      <c r="M260">
        <v>191.03</v>
      </c>
      <c r="N260" t="s">
        <v>32</v>
      </c>
      <c r="O260">
        <v>0.76</v>
      </c>
      <c r="P260">
        <v>174.26</v>
      </c>
      <c r="Q260" t="s">
        <v>32</v>
      </c>
      <c r="R260">
        <v>0.76</v>
      </c>
      <c r="S260">
        <v>174.26</v>
      </c>
      <c r="T260" s="1" t="s">
        <v>33</v>
      </c>
      <c r="U260" s="1" t="s">
        <v>34</v>
      </c>
    </row>
    <row r="261" spans="1:21" ht="12" customHeight="1" x14ac:dyDescent="0.3">
      <c r="A261">
        <v>2021</v>
      </c>
      <c r="B261">
        <v>3</v>
      </c>
      <c r="C261">
        <v>30194</v>
      </c>
      <c r="D261">
        <v>32467</v>
      </c>
      <c r="E261" t="s">
        <v>21</v>
      </c>
      <c r="F261" t="s">
        <v>22</v>
      </c>
      <c r="G261">
        <v>11298</v>
      </c>
      <c r="H261">
        <v>11697</v>
      </c>
      <c r="I261" t="s">
        <v>27</v>
      </c>
      <c r="J261" t="s">
        <v>24</v>
      </c>
      <c r="K261">
        <v>1121</v>
      </c>
      <c r="L261">
        <v>572</v>
      </c>
      <c r="M261">
        <v>203.21</v>
      </c>
      <c r="N261" t="s">
        <v>28</v>
      </c>
      <c r="O261">
        <v>0.47</v>
      </c>
      <c r="P261">
        <v>216.38</v>
      </c>
      <c r="Q261" t="s">
        <v>31</v>
      </c>
      <c r="R261">
        <v>0.39</v>
      </c>
      <c r="S261">
        <v>192.71</v>
      </c>
      <c r="T261" s="1" t="s">
        <v>33</v>
      </c>
      <c r="U261" s="1" t="s">
        <v>34</v>
      </c>
    </row>
    <row r="262" spans="1:21" ht="12" customHeight="1" x14ac:dyDescent="0.3">
      <c r="A262">
        <v>2021</v>
      </c>
      <c r="B262">
        <v>1</v>
      </c>
      <c r="C262">
        <v>30194</v>
      </c>
      <c r="D262">
        <v>32467</v>
      </c>
      <c r="E262" t="s">
        <v>21</v>
      </c>
      <c r="F262" t="s">
        <v>22</v>
      </c>
      <c r="G262">
        <v>11298</v>
      </c>
      <c r="H262">
        <v>13303</v>
      </c>
      <c r="I262" t="s">
        <v>27</v>
      </c>
      <c r="J262" t="s">
        <v>26</v>
      </c>
      <c r="K262">
        <v>1121</v>
      </c>
      <c r="L262">
        <v>571</v>
      </c>
      <c r="M262">
        <v>227.1</v>
      </c>
      <c r="N262" t="s">
        <v>28</v>
      </c>
      <c r="O262">
        <v>0.82</v>
      </c>
      <c r="P262">
        <v>236.5</v>
      </c>
      <c r="Q262" t="s">
        <v>32</v>
      </c>
      <c r="R262">
        <v>0.03</v>
      </c>
      <c r="S262">
        <v>157.54</v>
      </c>
      <c r="T262" s="1" t="s">
        <v>33</v>
      </c>
      <c r="U262" s="1" t="s">
        <v>34</v>
      </c>
    </row>
    <row r="263" spans="1:21" ht="12" customHeight="1" x14ac:dyDescent="0.3">
      <c r="A263">
        <v>2021</v>
      </c>
      <c r="B263">
        <v>2</v>
      </c>
      <c r="C263">
        <v>30194</v>
      </c>
      <c r="D263">
        <v>32467</v>
      </c>
      <c r="E263" t="s">
        <v>21</v>
      </c>
      <c r="F263" t="s">
        <v>22</v>
      </c>
      <c r="G263">
        <v>11298</v>
      </c>
      <c r="H263">
        <v>13303</v>
      </c>
      <c r="I263" t="s">
        <v>27</v>
      </c>
      <c r="J263" t="s">
        <v>26</v>
      </c>
      <c r="K263">
        <v>1121</v>
      </c>
      <c r="L263">
        <v>641</v>
      </c>
      <c r="M263">
        <v>210.04</v>
      </c>
      <c r="N263" t="s">
        <v>28</v>
      </c>
      <c r="O263">
        <v>0.89</v>
      </c>
      <c r="P263">
        <v>210.45</v>
      </c>
      <c r="Q263" t="s">
        <v>31</v>
      </c>
      <c r="R263">
        <v>0.02</v>
      </c>
      <c r="S263">
        <v>154.80000000000001</v>
      </c>
      <c r="T263" s="1" t="s">
        <v>33</v>
      </c>
      <c r="U263" s="1" t="s">
        <v>34</v>
      </c>
    </row>
    <row r="264" spans="1:21" ht="12" customHeight="1" x14ac:dyDescent="0.3">
      <c r="A264">
        <v>2021</v>
      </c>
      <c r="B264">
        <v>2</v>
      </c>
      <c r="C264">
        <v>30194</v>
      </c>
      <c r="D264">
        <v>32467</v>
      </c>
      <c r="E264" t="s">
        <v>21</v>
      </c>
      <c r="F264" t="s">
        <v>22</v>
      </c>
      <c r="G264">
        <v>11298</v>
      </c>
      <c r="H264">
        <v>11697</v>
      </c>
      <c r="I264" t="s">
        <v>27</v>
      </c>
      <c r="J264" t="s">
        <v>24</v>
      </c>
      <c r="K264">
        <v>1121</v>
      </c>
      <c r="L264">
        <v>541</v>
      </c>
      <c r="M264">
        <v>213.9</v>
      </c>
      <c r="N264" t="s">
        <v>28</v>
      </c>
      <c r="O264">
        <v>0.83</v>
      </c>
      <c r="P264">
        <v>216.51</v>
      </c>
      <c r="Q264" t="s">
        <v>32</v>
      </c>
      <c r="R264">
        <v>0.02</v>
      </c>
      <c r="S264">
        <v>170.85</v>
      </c>
      <c r="T264" s="1" t="s">
        <v>33</v>
      </c>
      <c r="U264" s="1" t="s">
        <v>34</v>
      </c>
    </row>
    <row r="265" spans="1:21" ht="12" customHeight="1" x14ac:dyDescent="0.3">
      <c r="A265">
        <v>2021</v>
      </c>
      <c r="B265">
        <v>1</v>
      </c>
      <c r="C265">
        <v>30194</v>
      </c>
      <c r="D265">
        <v>32467</v>
      </c>
      <c r="E265" t="s">
        <v>21</v>
      </c>
      <c r="F265" t="s">
        <v>22</v>
      </c>
      <c r="G265">
        <v>11298</v>
      </c>
      <c r="H265">
        <v>13303</v>
      </c>
      <c r="I265" t="s">
        <v>27</v>
      </c>
      <c r="J265" t="s">
        <v>26</v>
      </c>
      <c r="K265">
        <v>1121</v>
      </c>
      <c r="L265">
        <v>437</v>
      </c>
      <c r="M265">
        <v>264.45</v>
      </c>
      <c r="N265" t="s">
        <v>28</v>
      </c>
      <c r="O265">
        <v>0.64</v>
      </c>
      <c r="P265">
        <v>283.38</v>
      </c>
      <c r="Q265" t="s">
        <v>31</v>
      </c>
      <c r="R265">
        <v>0.25</v>
      </c>
      <c r="S265">
        <v>225.07</v>
      </c>
      <c r="T265" s="1" t="s">
        <v>33</v>
      </c>
      <c r="U265" s="1" t="s">
        <v>34</v>
      </c>
    </row>
    <row r="266" spans="1:21" ht="12" customHeight="1" x14ac:dyDescent="0.3">
      <c r="A266">
        <v>2021</v>
      </c>
      <c r="B266">
        <v>1</v>
      </c>
      <c r="C266">
        <v>30194</v>
      </c>
      <c r="D266">
        <v>32467</v>
      </c>
      <c r="E266" t="s">
        <v>21</v>
      </c>
      <c r="F266" t="s">
        <v>22</v>
      </c>
      <c r="G266">
        <v>11259</v>
      </c>
      <c r="H266">
        <v>13303</v>
      </c>
      <c r="I266" t="s">
        <v>23</v>
      </c>
      <c r="J266" t="s">
        <v>26</v>
      </c>
      <c r="K266">
        <v>1121</v>
      </c>
      <c r="L266">
        <v>3</v>
      </c>
      <c r="M266">
        <v>214.06</v>
      </c>
      <c r="N266" t="s">
        <v>32</v>
      </c>
      <c r="O266">
        <v>1</v>
      </c>
      <c r="P266">
        <v>214.06</v>
      </c>
      <c r="Q266" t="s">
        <v>32</v>
      </c>
      <c r="R266">
        <v>1</v>
      </c>
      <c r="S266">
        <v>214.06</v>
      </c>
      <c r="T266" s="1" t="s">
        <v>33</v>
      </c>
      <c r="U266" s="1" t="s">
        <v>34</v>
      </c>
    </row>
    <row r="267" spans="1:21" ht="12" customHeight="1" x14ac:dyDescent="0.3">
      <c r="A267">
        <v>2021</v>
      </c>
      <c r="B267">
        <v>2</v>
      </c>
      <c r="C267">
        <v>30194</v>
      </c>
      <c r="D267">
        <v>32467</v>
      </c>
      <c r="E267" t="s">
        <v>21</v>
      </c>
      <c r="F267" t="s">
        <v>22</v>
      </c>
      <c r="G267">
        <v>11259</v>
      </c>
      <c r="H267">
        <v>13303</v>
      </c>
      <c r="I267" t="s">
        <v>23</v>
      </c>
      <c r="J267" t="s">
        <v>26</v>
      </c>
      <c r="K267">
        <v>1121</v>
      </c>
      <c r="L267">
        <v>5</v>
      </c>
      <c r="M267">
        <v>226.45</v>
      </c>
      <c r="N267" t="s">
        <v>32</v>
      </c>
      <c r="O267">
        <v>0.89</v>
      </c>
      <c r="P267">
        <v>226.12</v>
      </c>
      <c r="Q267" t="s">
        <v>32</v>
      </c>
      <c r="R267">
        <v>0.89</v>
      </c>
      <c r="S267">
        <v>226.12</v>
      </c>
      <c r="T267" s="1" t="s">
        <v>33</v>
      </c>
      <c r="U267" s="1" t="s">
        <v>34</v>
      </c>
    </row>
    <row r="268" spans="1:21" ht="12" customHeight="1" x14ac:dyDescent="0.3">
      <c r="A268">
        <v>2021</v>
      </c>
      <c r="B268">
        <v>4</v>
      </c>
      <c r="C268">
        <v>30194</v>
      </c>
      <c r="D268">
        <v>32467</v>
      </c>
      <c r="E268" t="s">
        <v>21</v>
      </c>
      <c r="F268" t="s">
        <v>22</v>
      </c>
      <c r="G268">
        <v>11298</v>
      </c>
      <c r="H268">
        <v>13303</v>
      </c>
      <c r="I268" t="s">
        <v>27</v>
      </c>
      <c r="J268" t="s">
        <v>26</v>
      </c>
      <c r="K268">
        <v>1121</v>
      </c>
      <c r="L268">
        <v>489</v>
      </c>
      <c r="M268">
        <v>215.82</v>
      </c>
      <c r="N268" t="s">
        <v>28</v>
      </c>
      <c r="O268">
        <v>0.78</v>
      </c>
      <c r="P268">
        <v>222.7</v>
      </c>
      <c r="Q268" t="s">
        <v>31</v>
      </c>
      <c r="R268">
        <v>0.14000000000000001</v>
      </c>
      <c r="S268">
        <v>184.35</v>
      </c>
      <c r="T268" s="1" t="s">
        <v>33</v>
      </c>
      <c r="U268" s="1" t="s">
        <v>34</v>
      </c>
    </row>
    <row r="269" spans="1:21" ht="12" customHeight="1" x14ac:dyDescent="0.3">
      <c r="A269">
        <v>2021</v>
      </c>
      <c r="B269">
        <v>2</v>
      </c>
      <c r="C269">
        <v>30194</v>
      </c>
      <c r="D269">
        <v>32467</v>
      </c>
      <c r="E269" t="s">
        <v>21</v>
      </c>
      <c r="F269" t="s">
        <v>22</v>
      </c>
      <c r="G269">
        <v>11259</v>
      </c>
      <c r="H269">
        <v>13303</v>
      </c>
      <c r="I269" t="s">
        <v>23</v>
      </c>
      <c r="J269" t="s">
        <v>26</v>
      </c>
      <c r="K269">
        <v>1121</v>
      </c>
      <c r="L269">
        <v>4</v>
      </c>
      <c r="M269">
        <v>174.87</v>
      </c>
      <c r="N269" t="s">
        <v>32</v>
      </c>
      <c r="O269">
        <v>0.93</v>
      </c>
      <c r="P269">
        <v>176.74</v>
      </c>
      <c r="Q269" t="s">
        <v>32</v>
      </c>
      <c r="R269">
        <v>0.93</v>
      </c>
      <c r="S269">
        <v>176.74</v>
      </c>
      <c r="T269" s="1" t="s">
        <v>33</v>
      </c>
      <c r="U269" s="1" t="s">
        <v>34</v>
      </c>
    </row>
    <row r="270" spans="1:21" ht="12" customHeight="1" x14ac:dyDescent="0.3">
      <c r="A270">
        <v>2021</v>
      </c>
      <c r="B270">
        <v>1</v>
      </c>
      <c r="C270">
        <v>30194</v>
      </c>
      <c r="D270">
        <v>32467</v>
      </c>
      <c r="E270" t="s">
        <v>21</v>
      </c>
      <c r="F270" t="s">
        <v>22</v>
      </c>
      <c r="G270">
        <v>11259</v>
      </c>
      <c r="H270">
        <v>13303</v>
      </c>
      <c r="I270" t="s">
        <v>23</v>
      </c>
      <c r="J270" t="s">
        <v>26</v>
      </c>
      <c r="K270">
        <v>1121</v>
      </c>
      <c r="L270">
        <v>4</v>
      </c>
      <c r="M270">
        <v>158.53</v>
      </c>
      <c r="N270" t="s">
        <v>32</v>
      </c>
      <c r="O270">
        <v>0.6</v>
      </c>
      <c r="P270">
        <v>169.75</v>
      </c>
      <c r="Q270" t="s">
        <v>31</v>
      </c>
      <c r="R270">
        <v>0.36</v>
      </c>
      <c r="S270">
        <v>141.03</v>
      </c>
      <c r="T270" s="1" t="s">
        <v>33</v>
      </c>
      <c r="U270" s="1" t="s">
        <v>34</v>
      </c>
    </row>
    <row r="271" spans="1:21" ht="12" customHeight="1" x14ac:dyDescent="0.3">
      <c r="A271">
        <v>2021</v>
      </c>
      <c r="B271">
        <v>4</v>
      </c>
      <c r="C271">
        <v>30194</v>
      </c>
      <c r="D271">
        <v>32467</v>
      </c>
      <c r="E271" t="s">
        <v>21</v>
      </c>
      <c r="F271" t="s">
        <v>22</v>
      </c>
      <c r="G271">
        <v>11259</v>
      </c>
      <c r="H271">
        <v>11697</v>
      </c>
      <c r="I271" t="s">
        <v>23</v>
      </c>
      <c r="J271" t="s">
        <v>24</v>
      </c>
      <c r="K271">
        <v>1121</v>
      </c>
      <c r="L271">
        <v>0</v>
      </c>
      <c r="M271">
        <v>94</v>
      </c>
      <c r="N271" t="s">
        <v>25</v>
      </c>
      <c r="O271">
        <v>1</v>
      </c>
      <c r="P271">
        <v>94</v>
      </c>
      <c r="Q271" t="s">
        <v>25</v>
      </c>
      <c r="R271">
        <v>1</v>
      </c>
      <c r="S271">
        <v>94</v>
      </c>
      <c r="T271" s="1" t="s">
        <v>33</v>
      </c>
      <c r="U271" s="1" t="s">
        <v>34</v>
      </c>
    </row>
    <row r="272" spans="1:21" ht="12" customHeight="1" x14ac:dyDescent="0.3">
      <c r="A272">
        <v>2021</v>
      </c>
      <c r="B272">
        <v>2</v>
      </c>
      <c r="C272">
        <v>30194</v>
      </c>
      <c r="D272">
        <v>32467</v>
      </c>
      <c r="E272" t="s">
        <v>21</v>
      </c>
      <c r="F272" t="s">
        <v>22</v>
      </c>
      <c r="G272">
        <v>11259</v>
      </c>
      <c r="H272">
        <v>11697</v>
      </c>
      <c r="I272" t="s">
        <v>23</v>
      </c>
      <c r="J272" t="s">
        <v>24</v>
      </c>
      <c r="K272">
        <v>1121</v>
      </c>
      <c r="L272">
        <v>12</v>
      </c>
      <c r="M272">
        <v>205.94</v>
      </c>
      <c r="N272" t="s">
        <v>32</v>
      </c>
      <c r="O272">
        <v>0.73</v>
      </c>
      <c r="P272">
        <v>189.18</v>
      </c>
      <c r="Q272" t="s">
        <v>32</v>
      </c>
      <c r="R272">
        <v>0.73</v>
      </c>
      <c r="S272">
        <v>189.18</v>
      </c>
      <c r="T272" s="1" t="s">
        <v>33</v>
      </c>
      <c r="U272" s="1" t="s">
        <v>34</v>
      </c>
    </row>
    <row r="273" spans="1:21" ht="12" customHeight="1" x14ac:dyDescent="0.3">
      <c r="A273">
        <v>2021</v>
      </c>
      <c r="B273">
        <v>1</v>
      </c>
      <c r="C273">
        <v>30194</v>
      </c>
      <c r="D273">
        <v>32467</v>
      </c>
      <c r="E273" t="s">
        <v>21</v>
      </c>
      <c r="F273" t="s">
        <v>22</v>
      </c>
      <c r="G273">
        <v>11259</v>
      </c>
      <c r="H273">
        <v>13303</v>
      </c>
      <c r="I273" t="s">
        <v>23</v>
      </c>
      <c r="J273" t="s">
        <v>26</v>
      </c>
      <c r="K273">
        <v>1121</v>
      </c>
      <c r="L273">
        <v>2</v>
      </c>
      <c r="M273">
        <v>178.12</v>
      </c>
      <c r="N273" t="s">
        <v>32</v>
      </c>
      <c r="O273">
        <v>0.93</v>
      </c>
      <c r="P273">
        <v>177.17</v>
      </c>
      <c r="Q273" t="s">
        <v>32</v>
      </c>
      <c r="R273">
        <v>0.93</v>
      </c>
      <c r="S273">
        <v>177.17</v>
      </c>
      <c r="T273" s="1" t="s">
        <v>33</v>
      </c>
      <c r="U273" s="1" t="s">
        <v>34</v>
      </c>
    </row>
    <row r="274" spans="1:21" ht="12" customHeight="1" x14ac:dyDescent="0.3">
      <c r="A274">
        <v>2021</v>
      </c>
      <c r="B274">
        <v>3</v>
      </c>
      <c r="C274">
        <v>30194</v>
      </c>
      <c r="D274">
        <v>32467</v>
      </c>
      <c r="E274" t="s">
        <v>21</v>
      </c>
      <c r="F274" t="s">
        <v>22</v>
      </c>
      <c r="G274">
        <v>11259</v>
      </c>
      <c r="H274">
        <v>13303</v>
      </c>
      <c r="I274" t="s">
        <v>23</v>
      </c>
      <c r="J274" t="s">
        <v>26</v>
      </c>
      <c r="K274">
        <v>1121</v>
      </c>
      <c r="L274">
        <v>3</v>
      </c>
      <c r="M274">
        <v>186.64</v>
      </c>
      <c r="N274" t="s">
        <v>32</v>
      </c>
      <c r="O274">
        <v>0.92</v>
      </c>
      <c r="P274">
        <v>189.86</v>
      </c>
      <c r="Q274" t="s">
        <v>32</v>
      </c>
      <c r="R274">
        <v>0.92</v>
      </c>
      <c r="S274">
        <v>189.86</v>
      </c>
      <c r="T274" s="1" t="s">
        <v>33</v>
      </c>
      <c r="U274" s="1" t="s">
        <v>34</v>
      </c>
    </row>
    <row r="275" spans="1:21" ht="12" customHeight="1" x14ac:dyDescent="0.3">
      <c r="A275">
        <v>2021</v>
      </c>
      <c r="B275">
        <v>4</v>
      </c>
      <c r="C275">
        <v>30194</v>
      </c>
      <c r="D275">
        <v>32467</v>
      </c>
      <c r="E275" t="s">
        <v>21</v>
      </c>
      <c r="F275" t="s">
        <v>22</v>
      </c>
      <c r="G275">
        <v>11298</v>
      </c>
      <c r="H275">
        <v>11697</v>
      </c>
      <c r="I275" t="s">
        <v>27</v>
      </c>
      <c r="J275" t="s">
        <v>24</v>
      </c>
      <c r="K275">
        <v>1121</v>
      </c>
      <c r="L275">
        <v>299</v>
      </c>
      <c r="M275">
        <v>261.32</v>
      </c>
      <c r="N275" t="s">
        <v>28</v>
      </c>
      <c r="O275">
        <v>0.45</v>
      </c>
      <c r="P275">
        <v>263.35000000000002</v>
      </c>
      <c r="Q275" t="s">
        <v>31</v>
      </c>
      <c r="R275">
        <v>0.43</v>
      </c>
      <c r="S275">
        <v>258.23</v>
      </c>
      <c r="T275" s="1" t="s">
        <v>33</v>
      </c>
      <c r="U275" s="1" t="s">
        <v>34</v>
      </c>
    </row>
    <row r="276" spans="1:21" ht="12" customHeight="1" x14ac:dyDescent="0.3">
      <c r="A276">
        <v>2021</v>
      </c>
      <c r="B276">
        <v>4</v>
      </c>
      <c r="C276">
        <v>30194</v>
      </c>
      <c r="D276">
        <v>32467</v>
      </c>
      <c r="E276" t="s">
        <v>21</v>
      </c>
      <c r="F276" t="s">
        <v>22</v>
      </c>
      <c r="G276">
        <v>11298</v>
      </c>
      <c r="H276">
        <v>13303</v>
      </c>
      <c r="I276" t="s">
        <v>27</v>
      </c>
      <c r="J276" t="s">
        <v>26</v>
      </c>
      <c r="K276">
        <v>1121</v>
      </c>
      <c r="L276">
        <v>598</v>
      </c>
      <c r="M276">
        <v>199.35</v>
      </c>
      <c r="N276" t="s">
        <v>28</v>
      </c>
      <c r="O276">
        <v>0.91</v>
      </c>
      <c r="P276">
        <v>200.4</v>
      </c>
      <c r="Q276" t="s">
        <v>35</v>
      </c>
      <c r="R276">
        <v>0.01</v>
      </c>
      <c r="S276">
        <v>148</v>
      </c>
      <c r="T276" s="1" t="s">
        <v>33</v>
      </c>
      <c r="U276" s="1" t="s">
        <v>34</v>
      </c>
    </row>
    <row r="277" spans="1:21" ht="12" customHeight="1" x14ac:dyDescent="0.3">
      <c r="A277">
        <v>2021</v>
      </c>
      <c r="B277">
        <v>2</v>
      </c>
      <c r="C277">
        <v>30194</v>
      </c>
      <c r="D277">
        <v>32467</v>
      </c>
      <c r="E277" t="s">
        <v>21</v>
      </c>
      <c r="F277" t="s">
        <v>22</v>
      </c>
      <c r="G277">
        <v>11298</v>
      </c>
      <c r="H277">
        <v>13303</v>
      </c>
      <c r="I277" t="s">
        <v>27</v>
      </c>
      <c r="J277" t="s">
        <v>26</v>
      </c>
      <c r="K277">
        <v>1121</v>
      </c>
      <c r="L277">
        <v>574</v>
      </c>
      <c r="M277">
        <v>219.6</v>
      </c>
      <c r="N277" t="s">
        <v>28</v>
      </c>
      <c r="O277">
        <v>0.81</v>
      </c>
      <c r="P277">
        <v>224.49</v>
      </c>
      <c r="Q277" t="s">
        <v>32</v>
      </c>
      <c r="R277">
        <v>0.02</v>
      </c>
      <c r="S277">
        <v>165.03</v>
      </c>
      <c r="T277" s="1" t="s">
        <v>33</v>
      </c>
      <c r="U277" s="1" t="s">
        <v>34</v>
      </c>
    </row>
    <row r="278" spans="1:21" ht="12" customHeight="1" x14ac:dyDescent="0.3">
      <c r="A278">
        <v>2021</v>
      </c>
      <c r="B278">
        <v>1</v>
      </c>
      <c r="C278">
        <v>30194</v>
      </c>
      <c r="D278">
        <v>32467</v>
      </c>
      <c r="E278" t="s">
        <v>21</v>
      </c>
      <c r="F278" t="s">
        <v>22</v>
      </c>
      <c r="G278">
        <v>11298</v>
      </c>
      <c r="H278">
        <v>11697</v>
      </c>
      <c r="I278" t="s">
        <v>27</v>
      </c>
      <c r="J278" t="s">
        <v>24</v>
      </c>
      <c r="K278">
        <v>1121</v>
      </c>
      <c r="L278">
        <v>454</v>
      </c>
      <c r="M278">
        <v>244.37</v>
      </c>
      <c r="N278" t="s">
        <v>28</v>
      </c>
      <c r="O278">
        <v>0.49</v>
      </c>
      <c r="P278">
        <v>268.99</v>
      </c>
      <c r="Q278" t="s">
        <v>31</v>
      </c>
      <c r="R278">
        <v>0.32</v>
      </c>
      <c r="S278">
        <v>228.89</v>
      </c>
      <c r="T278" s="1" t="s">
        <v>33</v>
      </c>
      <c r="U278" s="1" t="s">
        <v>34</v>
      </c>
    </row>
    <row r="279" spans="1:21" ht="12" customHeight="1" x14ac:dyDescent="0.3">
      <c r="A279">
        <v>2021</v>
      </c>
      <c r="B279">
        <v>1</v>
      </c>
      <c r="C279">
        <v>30194</v>
      </c>
      <c r="D279">
        <v>32467</v>
      </c>
      <c r="E279" t="s">
        <v>21</v>
      </c>
      <c r="F279" t="s">
        <v>22</v>
      </c>
      <c r="G279">
        <v>11259</v>
      </c>
      <c r="H279">
        <v>13303</v>
      </c>
      <c r="I279" t="s">
        <v>23</v>
      </c>
      <c r="J279" t="s">
        <v>26</v>
      </c>
      <c r="K279">
        <v>1121</v>
      </c>
      <c r="L279">
        <v>2</v>
      </c>
      <c r="M279">
        <v>220.47</v>
      </c>
      <c r="N279" t="s">
        <v>32</v>
      </c>
      <c r="O279">
        <v>1</v>
      </c>
      <c r="P279">
        <v>220.47</v>
      </c>
      <c r="Q279" t="s">
        <v>32</v>
      </c>
      <c r="R279">
        <v>1</v>
      </c>
      <c r="S279">
        <v>220.47</v>
      </c>
      <c r="T279" s="1" t="s">
        <v>33</v>
      </c>
      <c r="U279" s="1" t="s">
        <v>34</v>
      </c>
    </row>
    <row r="280" spans="1:21" ht="12" customHeight="1" x14ac:dyDescent="0.3">
      <c r="A280">
        <v>2021</v>
      </c>
      <c r="B280">
        <v>1</v>
      </c>
      <c r="C280">
        <v>30194</v>
      </c>
      <c r="D280">
        <v>32467</v>
      </c>
      <c r="E280" t="s">
        <v>21</v>
      </c>
      <c r="F280" t="s">
        <v>22</v>
      </c>
      <c r="G280">
        <v>11298</v>
      </c>
      <c r="H280">
        <v>13303</v>
      </c>
      <c r="I280" t="s">
        <v>27</v>
      </c>
      <c r="J280" t="s">
        <v>26</v>
      </c>
      <c r="K280">
        <v>1121</v>
      </c>
      <c r="L280">
        <v>455</v>
      </c>
      <c r="M280">
        <v>232.81</v>
      </c>
      <c r="N280" t="s">
        <v>28</v>
      </c>
      <c r="O280">
        <v>0.84</v>
      </c>
      <c r="P280">
        <v>235.72</v>
      </c>
      <c r="Q280" t="s">
        <v>35</v>
      </c>
      <c r="R280">
        <v>0.03</v>
      </c>
      <c r="S280">
        <v>198.74</v>
      </c>
      <c r="T280" s="1" t="s">
        <v>33</v>
      </c>
      <c r="U280" s="1" t="s">
        <v>34</v>
      </c>
    </row>
    <row r="281" spans="1:21" ht="12" customHeight="1" x14ac:dyDescent="0.3">
      <c r="A281">
        <v>2021</v>
      </c>
      <c r="B281">
        <v>4</v>
      </c>
      <c r="C281">
        <v>30194</v>
      </c>
      <c r="D281">
        <v>32467</v>
      </c>
      <c r="E281" t="s">
        <v>21</v>
      </c>
      <c r="F281" t="s">
        <v>22</v>
      </c>
      <c r="G281">
        <v>11259</v>
      </c>
      <c r="H281">
        <v>13303</v>
      </c>
      <c r="I281" t="s">
        <v>23</v>
      </c>
      <c r="J281" t="s">
        <v>26</v>
      </c>
      <c r="K281">
        <v>1121</v>
      </c>
      <c r="L281">
        <v>10</v>
      </c>
      <c r="M281">
        <v>132.93</v>
      </c>
      <c r="N281" t="s">
        <v>32</v>
      </c>
      <c r="O281">
        <v>0.31</v>
      </c>
      <c r="P281">
        <v>138.02000000000001</v>
      </c>
      <c r="Q281" t="s">
        <v>31</v>
      </c>
      <c r="R281">
        <v>0.17</v>
      </c>
      <c r="S281">
        <v>127.96</v>
      </c>
      <c r="T281" s="1" t="s">
        <v>33</v>
      </c>
      <c r="U281" s="1" t="s">
        <v>34</v>
      </c>
    </row>
    <row r="282" spans="1:21" ht="12" customHeight="1" x14ac:dyDescent="0.3">
      <c r="A282">
        <v>2021</v>
      </c>
      <c r="B282">
        <v>1</v>
      </c>
      <c r="C282">
        <v>30194</v>
      </c>
      <c r="D282">
        <v>32467</v>
      </c>
      <c r="E282" t="s">
        <v>21</v>
      </c>
      <c r="F282" t="s">
        <v>22</v>
      </c>
      <c r="G282">
        <v>11298</v>
      </c>
      <c r="H282">
        <v>11697</v>
      </c>
      <c r="I282" t="s">
        <v>27</v>
      </c>
      <c r="J282" t="s">
        <v>24</v>
      </c>
      <c r="K282">
        <v>1121</v>
      </c>
      <c r="L282">
        <v>526</v>
      </c>
      <c r="M282">
        <v>219.98</v>
      </c>
      <c r="N282" t="s">
        <v>28</v>
      </c>
      <c r="O282">
        <v>0.83</v>
      </c>
      <c r="P282">
        <v>219.68</v>
      </c>
      <c r="Q282" t="s">
        <v>31</v>
      </c>
      <c r="R282">
        <v>7.0000000000000007E-2</v>
      </c>
      <c r="S282">
        <v>201.9</v>
      </c>
      <c r="T282" s="1" t="s">
        <v>33</v>
      </c>
      <c r="U282" s="1" t="s">
        <v>34</v>
      </c>
    </row>
    <row r="283" spans="1:21" ht="12" customHeight="1" x14ac:dyDescent="0.3">
      <c r="A283">
        <v>2021</v>
      </c>
      <c r="B283">
        <v>2</v>
      </c>
      <c r="C283">
        <v>30194</v>
      </c>
      <c r="D283">
        <v>32467</v>
      </c>
      <c r="E283" t="s">
        <v>21</v>
      </c>
      <c r="F283" t="s">
        <v>22</v>
      </c>
      <c r="G283">
        <v>11298</v>
      </c>
      <c r="H283">
        <v>11697</v>
      </c>
      <c r="I283" t="s">
        <v>27</v>
      </c>
      <c r="J283" t="s">
        <v>24</v>
      </c>
      <c r="K283">
        <v>1121</v>
      </c>
      <c r="L283">
        <v>726</v>
      </c>
      <c r="M283">
        <v>175.29</v>
      </c>
      <c r="N283" t="s">
        <v>28</v>
      </c>
      <c r="O283">
        <v>0.81</v>
      </c>
      <c r="P283">
        <v>177.58</v>
      </c>
      <c r="Q283" t="s">
        <v>35</v>
      </c>
      <c r="R283">
        <v>0.08</v>
      </c>
      <c r="S283">
        <v>145.35</v>
      </c>
      <c r="T283" s="1" t="s">
        <v>33</v>
      </c>
      <c r="U283" s="1" t="s">
        <v>34</v>
      </c>
    </row>
    <row r="284" spans="1:21" ht="12" customHeight="1" x14ac:dyDescent="0.3">
      <c r="A284">
        <v>2021</v>
      </c>
      <c r="B284">
        <v>2</v>
      </c>
      <c r="C284">
        <v>30194</v>
      </c>
      <c r="D284">
        <v>32467</v>
      </c>
      <c r="E284" t="s">
        <v>21</v>
      </c>
      <c r="F284" t="s">
        <v>22</v>
      </c>
      <c r="G284">
        <v>11259</v>
      </c>
      <c r="H284">
        <v>11697</v>
      </c>
      <c r="I284" t="s">
        <v>23</v>
      </c>
      <c r="J284" t="s">
        <v>24</v>
      </c>
      <c r="K284">
        <v>1121</v>
      </c>
      <c r="L284">
        <v>9</v>
      </c>
      <c r="M284">
        <v>269.52</v>
      </c>
      <c r="N284" t="s">
        <v>32</v>
      </c>
      <c r="O284">
        <v>0.5</v>
      </c>
      <c r="P284">
        <v>247.35</v>
      </c>
      <c r="Q284" t="s">
        <v>32</v>
      </c>
      <c r="R284">
        <v>0.5</v>
      </c>
      <c r="S284">
        <v>247.35</v>
      </c>
      <c r="T284" s="1" t="s">
        <v>33</v>
      </c>
      <c r="U284" s="1" t="s">
        <v>34</v>
      </c>
    </row>
    <row r="285" spans="1:21" ht="12" customHeight="1" x14ac:dyDescent="0.3">
      <c r="A285">
        <v>2021</v>
      </c>
      <c r="B285">
        <v>3</v>
      </c>
      <c r="C285">
        <v>30194</v>
      </c>
      <c r="D285">
        <v>32467</v>
      </c>
      <c r="E285" t="s">
        <v>21</v>
      </c>
      <c r="F285" t="s">
        <v>22</v>
      </c>
      <c r="G285">
        <v>11259</v>
      </c>
      <c r="H285">
        <v>11697</v>
      </c>
      <c r="I285" t="s">
        <v>23</v>
      </c>
      <c r="J285" t="s">
        <v>24</v>
      </c>
      <c r="K285">
        <v>1121</v>
      </c>
      <c r="L285">
        <v>71</v>
      </c>
      <c r="M285">
        <v>207.74</v>
      </c>
      <c r="N285" t="s">
        <v>25</v>
      </c>
      <c r="O285">
        <v>0.91</v>
      </c>
      <c r="P285">
        <v>210.3</v>
      </c>
      <c r="Q285" t="s">
        <v>32</v>
      </c>
      <c r="R285">
        <v>7.0000000000000007E-2</v>
      </c>
      <c r="S285">
        <v>170.58</v>
      </c>
      <c r="T285" s="1" t="s">
        <v>33</v>
      </c>
      <c r="U285" s="1" t="s">
        <v>34</v>
      </c>
    </row>
    <row r="286" spans="1:21" ht="12" customHeight="1" x14ac:dyDescent="0.3">
      <c r="A286">
        <v>2021</v>
      </c>
      <c r="B286">
        <v>4</v>
      </c>
      <c r="C286">
        <v>30194</v>
      </c>
      <c r="D286">
        <v>32467</v>
      </c>
      <c r="E286" t="s">
        <v>21</v>
      </c>
      <c r="F286" t="s">
        <v>22</v>
      </c>
      <c r="G286">
        <v>11259</v>
      </c>
      <c r="H286">
        <v>13303</v>
      </c>
      <c r="I286" t="s">
        <v>23</v>
      </c>
      <c r="J286" t="s">
        <v>26</v>
      </c>
      <c r="K286">
        <v>1121</v>
      </c>
      <c r="L286">
        <v>7</v>
      </c>
      <c r="M286">
        <v>228.69</v>
      </c>
      <c r="N286" t="s">
        <v>31</v>
      </c>
      <c r="O286">
        <v>0.59</v>
      </c>
      <c r="P286">
        <v>203.33</v>
      </c>
      <c r="Q286" t="s">
        <v>31</v>
      </c>
      <c r="R286">
        <v>0.59</v>
      </c>
      <c r="S286">
        <v>203.33</v>
      </c>
      <c r="T286" s="1" t="s">
        <v>33</v>
      </c>
      <c r="U286" s="1" t="s">
        <v>34</v>
      </c>
    </row>
    <row r="287" spans="1:21" ht="12" customHeight="1" x14ac:dyDescent="0.3">
      <c r="A287">
        <v>2021</v>
      </c>
      <c r="B287">
        <v>4</v>
      </c>
      <c r="C287">
        <v>30194</v>
      </c>
      <c r="D287">
        <v>32467</v>
      </c>
      <c r="E287" t="s">
        <v>21</v>
      </c>
      <c r="F287" t="s">
        <v>22</v>
      </c>
      <c r="G287">
        <v>11298</v>
      </c>
      <c r="H287">
        <v>13303</v>
      </c>
      <c r="I287" t="s">
        <v>27</v>
      </c>
      <c r="J287" t="s">
        <v>26</v>
      </c>
      <c r="K287">
        <v>1121</v>
      </c>
      <c r="L287">
        <v>464</v>
      </c>
      <c r="M287">
        <v>229.91</v>
      </c>
      <c r="N287" t="s">
        <v>28</v>
      </c>
      <c r="O287">
        <v>0.66</v>
      </c>
      <c r="P287">
        <v>240.51</v>
      </c>
      <c r="Q287" t="s">
        <v>31</v>
      </c>
      <c r="R287">
        <v>0.23</v>
      </c>
      <c r="S287">
        <v>205.79</v>
      </c>
      <c r="T287" s="1" t="s">
        <v>33</v>
      </c>
      <c r="U287" s="1" t="s">
        <v>34</v>
      </c>
    </row>
    <row r="288" spans="1:21" ht="12" customHeight="1" x14ac:dyDescent="0.3">
      <c r="A288">
        <v>2021</v>
      </c>
      <c r="B288">
        <v>2</v>
      </c>
      <c r="C288">
        <v>30194</v>
      </c>
      <c r="D288">
        <v>32467</v>
      </c>
      <c r="E288" t="s">
        <v>21</v>
      </c>
      <c r="F288" t="s">
        <v>22</v>
      </c>
      <c r="G288">
        <v>11259</v>
      </c>
      <c r="H288">
        <v>11697</v>
      </c>
      <c r="I288" t="s">
        <v>23</v>
      </c>
      <c r="J288" t="s">
        <v>24</v>
      </c>
      <c r="K288">
        <v>1121</v>
      </c>
      <c r="L288">
        <v>111</v>
      </c>
      <c r="M288">
        <v>205.34</v>
      </c>
      <c r="N288" t="s">
        <v>25</v>
      </c>
      <c r="O288">
        <v>0.96</v>
      </c>
      <c r="P288">
        <v>204.91</v>
      </c>
      <c r="Q288" t="s">
        <v>31</v>
      </c>
      <c r="R288">
        <v>0.01</v>
      </c>
      <c r="S288">
        <v>197.17</v>
      </c>
      <c r="T288" s="1" t="s">
        <v>33</v>
      </c>
      <c r="U288" s="1" t="s">
        <v>34</v>
      </c>
    </row>
    <row r="289" spans="1:21" ht="12" customHeight="1" x14ac:dyDescent="0.3">
      <c r="A289">
        <v>2021</v>
      </c>
      <c r="B289">
        <v>4</v>
      </c>
      <c r="C289">
        <v>30194</v>
      </c>
      <c r="D289">
        <v>32467</v>
      </c>
      <c r="E289" t="s">
        <v>21</v>
      </c>
      <c r="F289" t="s">
        <v>22</v>
      </c>
      <c r="G289">
        <v>11298</v>
      </c>
      <c r="H289">
        <v>11697</v>
      </c>
      <c r="I289" t="s">
        <v>27</v>
      </c>
      <c r="J289" t="s">
        <v>24</v>
      </c>
      <c r="K289">
        <v>1121</v>
      </c>
      <c r="L289">
        <v>810</v>
      </c>
      <c r="M289">
        <v>185.72</v>
      </c>
      <c r="N289" t="s">
        <v>28</v>
      </c>
      <c r="O289">
        <v>0.6</v>
      </c>
      <c r="P289">
        <v>217.87</v>
      </c>
      <c r="Q289" t="s">
        <v>29</v>
      </c>
      <c r="R289">
        <v>0.3</v>
      </c>
      <c r="S289">
        <v>107.59</v>
      </c>
      <c r="T289" s="1" t="s">
        <v>33</v>
      </c>
      <c r="U289" s="1" t="s">
        <v>34</v>
      </c>
    </row>
    <row r="290" spans="1:21" ht="12" customHeight="1" x14ac:dyDescent="0.3">
      <c r="A290">
        <v>2021</v>
      </c>
      <c r="B290">
        <v>1</v>
      </c>
      <c r="C290">
        <v>30194</v>
      </c>
      <c r="D290">
        <v>32467</v>
      </c>
      <c r="E290" t="s">
        <v>21</v>
      </c>
      <c r="F290" t="s">
        <v>22</v>
      </c>
      <c r="G290">
        <v>11259</v>
      </c>
      <c r="H290">
        <v>11697</v>
      </c>
      <c r="I290" t="s">
        <v>23</v>
      </c>
      <c r="J290" t="s">
        <v>24</v>
      </c>
      <c r="K290">
        <v>1121</v>
      </c>
      <c r="L290">
        <v>7</v>
      </c>
      <c r="M290">
        <v>210.4</v>
      </c>
      <c r="N290" t="s">
        <v>32</v>
      </c>
      <c r="O290">
        <v>0.64</v>
      </c>
      <c r="P290">
        <v>174.84</v>
      </c>
      <c r="Q290" t="s">
        <v>32</v>
      </c>
      <c r="R290">
        <v>0.64</v>
      </c>
      <c r="S290">
        <v>174.84</v>
      </c>
      <c r="T290" s="1" t="s">
        <v>33</v>
      </c>
      <c r="U290" s="1" t="s">
        <v>34</v>
      </c>
    </row>
    <row r="291" spans="1:21" ht="12" customHeight="1" x14ac:dyDescent="0.3">
      <c r="A291">
        <v>2021</v>
      </c>
      <c r="B291">
        <v>4</v>
      </c>
      <c r="C291">
        <v>30194</v>
      </c>
      <c r="D291">
        <v>32467</v>
      </c>
      <c r="E291" t="s">
        <v>21</v>
      </c>
      <c r="F291" t="s">
        <v>22</v>
      </c>
      <c r="G291">
        <v>11259</v>
      </c>
      <c r="H291">
        <v>13303</v>
      </c>
      <c r="I291" t="s">
        <v>23</v>
      </c>
      <c r="J291" t="s">
        <v>26</v>
      </c>
      <c r="K291">
        <v>1121</v>
      </c>
      <c r="L291">
        <v>6</v>
      </c>
      <c r="M291">
        <v>168.77</v>
      </c>
      <c r="N291" t="s">
        <v>32</v>
      </c>
      <c r="O291">
        <v>0.98</v>
      </c>
      <c r="P291">
        <v>165.32</v>
      </c>
      <c r="Q291" t="s">
        <v>32</v>
      </c>
      <c r="R291">
        <v>0.98</v>
      </c>
      <c r="S291">
        <v>165.32</v>
      </c>
      <c r="T291" s="1" t="s">
        <v>33</v>
      </c>
      <c r="U291" s="1" t="s">
        <v>34</v>
      </c>
    </row>
    <row r="292" spans="1:21" ht="12" customHeight="1" x14ac:dyDescent="0.3">
      <c r="A292">
        <v>2021</v>
      </c>
      <c r="B292">
        <v>3</v>
      </c>
      <c r="C292">
        <v>30194</v>
      </c>
      <c r="D292">
        <v>32467</v>
      </c>
      <c r="E292" t="s">
        <v>21</v>
      </c>
      <c r="F292" t="s">
        <v>22</v>
      </c>
      <c r="G292">
        <v>11259</v>
      </c>
      <c r="H292">
        <v>11697</v>
      </c>
      <c r="I292" t="s">
        <v>23</v>
      </c>
      <c r="J292" t="s">
        <v>24</v>
      </c>
      <c r="K292">
        <v>1121</v>
      </c>
      <c r="L292">
        <v>11</v>
      </c>
      <c r="M292">
        <v>217.18</v>
      </c>
      <c r="N292" t="s">
        <v>32</v>
      </c>
      <c r="O292">
        <v>0.52</v>
      </c>
      <c r="P292">
        <v>186.08</v>
      </c>
      <c r="Q292" t="s">
        <v>31</v>
      </c>
      <c r="R292">
        <v>0.11</v>
      </c>
      <c r="S292">
        <v>154.68</v>
      </c>
      <c r="T292" s="1" t="s">
        <v>33</v>
      </c>
      <c r="U292" s="1" t="s">
        <v>34</v>
      </c>
    </row>
    <row r="293" spans="1:21" ht="12" customHeight="1" x14ac:dyDescent="0.3">
      <c r="A293">
        <v>2021</v>
      </c>
      <c r="B293">
        <v>3</v>
      </c>
      <c r="C293">
        <v>30194</v>
      </c>
      <c r="D293">
        <v>32467</v>
      </c>
      <c r="E293" t="s">
        <v>21</v>
      </c>
      <c r="F293" t="s">
        <v>22</v>
      </c>
      <c r="G293">
        <v>11259</v>
      </c>
      <c r="H293">
        <v>13303</v>
      </c>
      <c r="I293" t="s">
        <v>23</v>
      </c>
      <c r="J293" t="s">
        <v>26</v>
      </c>
      <c r="K293">
        <v>1121</v>
      </c>
      <c r="L293">
        <v>11</v>
      </c>
      <c r="M293">
        <v>137.69</v>
      </c>
      <c r="N293" t="s">
        <v>32</v>
      </c>
      <c r="O293">
        <v>0.52</v>
      </c>
      <c r="P293">
        <v>158.16999999999999</v>
      </c>
      <c r="Q293" t="s">
        <v>31</v>
      </c>
      <c r="R293">
        <v>0.15</v>
      </c>
      <c r="S293">
        <v>99.9</v>
      </c>
      <c r="T293" s="1" t="s">
        <v>33</v>
      </c>
      <c r="U293" s="1" t="s">
        <v>34</v>
      </c>
    </row>
    <row r="294" spans="1:21" ht="12" customHeight="1" x14ac:dyDescent="0.3">
      <c r="A294">
        <v>2021</v>
      </c>
      <c r="B294">
        <v>3</v>
      </c>
      <c r="C294">
        <v>30194</v>
      </c>
      <c r="D294">
        <v>32467</v>
      </c>
      <c r="E294" t="s">
        <v>21</v>
      </c>
      <c r="F294" t="s">
        <v>22</v>
      </c>
      <c r="G294">
        <v>11259</v>
      </c>
      <c r="H294">
        <v>11697</v>
      </c>
      <c r="I294" t="s">
        <v>23</v>
      </c>
      <c r="J294" t="s">
        <v>24</v>
      </c>
      <c r="K294">
        <v>1121</v>
      </c>
      <c r="L294">
        <v>0</v>
      </c>
      <c r="M294">
        <v>58</v>
      </c>
      <c r="N294" t="s">
        <v>25</v>
      </c>
      <c r="O294">
        <v>1</v>
      </c>
      <c r="P294">
        <v>58</v>
      </c>
      <c r="Q294" t="s">
        <v>25</v>
      </c>
      <c r="R294">
        <v>1</v>
      </c>
      <c r="S294">
        <v>58</v>
      </c>
      <c r="T294" s="1" t="s">
        <v>33</v>
      </c>
      <c r="U294" s="1" t="s">
        <v>34</v>
      </c>
    </row>
    <row r="295" spans="1:21" ht="12" customHeight="1" x14ac:dyDescent="0.3">
      <c r="A295">
        <v>2021</v>
      </c>
      <c r="B295">
        <v>4</v>
      </c>
      <c r="C295">
        <v>30194</v>
      </c>
      <c r="D295">
        <v>32467</v>
      </c>
      <c r="E295" t="s">
        <v>21</v>
      </c>
      <c r="F295" t="s">
        <v>22</v>
      </c>
      <c r="G295">
        <v>11298</v>
      </c>
      <c r="H295">
        <v>13303</v>
      </c>
      <c r="I295" t="s">
        <v>27</v>
      </c>
      <c r="J295" t="s">
        <v>26</v>
      </c>
      <c r="K295">
        <v>1121</v>
      </c>
      <c r="L295">
        <v>521</v>
      </c>
      <c r="M295">
        <v>225.41</v>
      </c>
      <c r="N295" t="s">
        <v>28</v>
      </c>
      <c r="O295">
        <v>0.82</v>
      </c>
      <c r="P295">
        <v>227.92</v>
      </c>
      <c r="Q295" t="s">
        <v>35</v>
      </c>
      <c r="R295">
        <v>0.03</v>
      </c>
      <c r="S295">
        <v>183.66</v>
      </c>
      <c r="T295" s="1" t="s">
        <v>33</v>
      </c>
      <c r="U295" s="1" t="s">
        <v>34</v>
      </c>
    </row>
    <row r="296" spans="1:21" ht="12" customHeight="1" x14ac:dyDescent="0.3">
      <c r="A296">
        <v>2021</v>
      </c>
      <c r="B296">
        <v>3</v>
      </c>
      <c r="C296">
        <v>30194</v>
      </c>
      <c r="D296">
        <v>32467</v>
      </c>
      <c r="E296" t="s">
        <v>21</v>
      </c>
      <c r="F296" t="s">
        <v>22</v>
      </c>
      <c r="G296">
        <v>11298</v>
      </c>
      <c r="H296">
        <v>11697</v>
      </c>
      <c r="I296" t="s">
        <v>27</v>
      </c>
      <c r="J296" t="s">
        <v>24</v>
      </c>
      <c r="K296">
        <v>1121</v>
      </c>
      <c r="L296">
        <v>236</v>
      </c>
      <c r="M296">
        <v>248.93</v>
      </c>
      <c r="N296" t="s">
        <v>31</v>
      </c>
      <c r="O296">
        <v>0.44</v>
      </c>
      <c r="P296">
        <v>253.38</v>
      </c>
      <c r="Q296" t="s">
        <v>28</v>
      </c>
      <c r="R296">
        <v>0.43</v>
      </c>
      <c r="S296">
        <v>234.26</v>
      </c>
      <c r="T296" s="1" t="s">
        <v>33</v>
      </c>
      <c r="U296" s="1" t="s">
        <v>34</v>
      </c>
    </row>
    <row r="297" spans="1:21" ht="12" customHeight="1" x14ac:dyDescent="0.3">
      <c r="A297">
        <v>2021</v>
      </c>
      <c r="B297">
        <v>2</v>
      </c>
      <c r="C297">
        <v>30194</v>
      </c>
      <c r="D297">
        <v>32467</v>
      </c>
      <c r="E297" t="s">
        <v>21</v>
      </c>
      <c r="F297" t="s">
        <v>22</v>
      </c>
      <c r="G297">
        <v>11259</v>
      </c>
      <c r="H297">
        <v>11697</v>
      </c>
      <c r="I297" t="s">
        <v>23</v>
      </c>
      <c r="J297" t="s">
        <v>24</v>
      </c>
      <c r="K297">
        <v>1121</v>
      </c>
      <c r="L297">
        <v>62</v>
      </c>
      <c r="M297">
        <v>214.3</v>
      </c>
      <c r="N297" t="s">
        <v>25</v>
      </c>
      <c r="O297">
        <v>0.94</v>
      </c>
      <c r="P297">
        <v>214.04</v>
      </c>
      <c r="Q297" t="s">
        <v>32</v>
      </c>
      <c r="R297">
        <v>0.04</v>
      </c>
      <c r="S297">
        <v>209.8</v>
      </c>
      <c r="T297" s="1" t="s">
        <v>33</v>
      </c>
      <c r="U297" s="1" t="s">
        <v>34</v>
      </c>
    </row>
    <row r="298" spans="1:21" ht="12" customHeight="1" x14ac:dyDescent="0.3">
      <c r="A298">
        <v>2021</v>
      </c>
      <c r="B298">
        <v>4</v>
      </c>
      <c r="C298">
        <v>30194</v>
      </c>
      <c r="D298">
        <v>32467</v>
      </c>
      <c r="E298" t="s">
        <v>21</v>
      </c>
      <c r="F298" t="s">
        <v>22</v>
      </c>
      <c r="G298">
        <v>11298</v>
      </c>
      <c r="H298">
        <v>13303</v>
      </c>
      <c r="I298" t="s">
        <v>27</v>
      </c>
      <c r="J298" t="s">
        <v>26</v>
      </c>
      <c r="K298">
        <v>1121</v>
      </c>
      <c r="L298">
        <v>499</v>
      </c>
      <c r="M298">
        <v>235.2</v>
      </c>
      <c r="N298" t="s">
        <v>28</v>
      </c>
      <c r="O298">
        <v>0.79</v>
      </c>
      <c r="P298">
        <v>245.48</v>
      </c>
      <c r="Q298" t="s">
        <v>36</v>
      </c>
      <c r="R298">
        <v>0.01</v>
      </c>
      <c r="S298">
        <v>113</v>
      </c>
      <c r="T298" s="1" t="s">
        <v>33</v>
      </c>
      <c r="U298" s="1" t="s">
        <v>34</v>
      </c>
    </row>
    <row r="299" spans="1:21" ht="12" customHeight="1" x14ac:dyDescent="0.3">
      <c r="A299">
        <v>2021</v>
      </c>
      <c r="B299">
        <v>3</v>
      </c>
      <c r="C299">
        <v>30194</v>
      </c>
      <c r="D299">
        <v>32467</v>
      </c>
      <c r="E299" t="s">
        <v>21</v>
      </c>
      <c r="F299" t="s">
        <v>22</v>
      </c>
      <c r="G299">
        <v>11298</v>
      </c>
      <c r="H299">
        <v>13303</v>
      </c>
      <c r="I299" t="s">
        <v>27</v>
      </c>
      <c r="J299" t="s">
        <v>26</v>
      </c>
      <c r="K299">
        <v>1121</v>
      </c>
      <c r="L299">
        <v>537</v>
      </c>
      <c r="M299">
        <v>252.07</v>
      </c>
      <c r="N299" t="s">
        <v>28</v>
      </c>
      <c r="O299">
        <v>0.83</v>
      </c>
      <c r="P299">
        <v>261.77999999999997</v>
      </c>
      <c r="Q299" t="s">
        <v>31</v>
      </c>
      <c r="R299">
        <v>7.0000000000000007E-2</v>
      </c>
      <c r="S299">
        <v>147.59</v>
      </c>
      <c r="T299" s="1" t="s">
        <v>33</v>
      </c>
      <c r="U299" s="1" t="s">
        <v>34</v>
      </c>
    </row>
    <row r="300" spans="1:21" ht="12" customHeight="1" x14ac:dyDescent="0.3">
      <c r="A300">
        <v>2021</v>
      </c>
      <c r="B300">
        <v>3</v>
      </c>
      <c r="C300">
        <v>30194</v>
      </c>
      <c r="D300">
        <v>32467</v>
      </c>
      <c r="E300" t="s">
        <v>21</v>
      </c>
      <c r="F300" t="s">
        <v>22</v>
      </c>
      <c r="G300">
        <v>11298</v>
      </c>
      <c r="H300">
        <v>13303</v>
      </c>
      <c r="I300" t="s">
        <v>27</v>
      </c>
      <c r="J300" t="s">
        <v>26</v>
      </c>
      <c r="K300">
        <v>1121</v>
      </c>
      <c r="L300">
        <v>465</v>
      </c>
      <c r="M300">
        <v>227.74</v>
      </c>
      <c r="N300" t="s">
        <v>28</v>
      </c>
      <c r="O300">
        <v>0.81</v>
      </c>
      <c r="P300">
        <v>234.54</v>
      </c>
      <c r="Q300" t="s">
        <v>37</v>
      </c>
      <c r="R300">
        <v>0.01</v>
      </c>
      <c r="S300">
        <v>172.68</v>
      </c>
      <c r="T300" s="1" t="s">
        <v>33</v>
      </c>
      <c r="U300" s="1" t="s">
        <v>34</v>
      </c>
    </row>
    <row r="301" spans="1:21" ht="12" customHeight="1" x14ac:dyDescent="0.3">
      <c r="A301">
        <v>2021</v>
      </c>
      <c r="B301">
        <v>1</v>
      </c>
      <c r="C301">
        <v>30194</v>
      </c>
      <c r="D301">
        <v>32467</v>
      </c>
      <c r="E301" t="s">
        <v>21</v>
      </c>
      <c r="F301" t="s">
        <v>22</v>
      </c>
      <c r="G301">
        <v>11298</v>
      </c>
      <c r="H301">
        <v>13303</v>
      </c>
      <c r="I301" t="s">
        <v>27</v>
      </c>
      <c r="J301" t="s">
        <v>26</v>
      </c>
      <c r="K301">
        <v>1121</v>
      </c>
      <c r="L301">
        <v>583</v>
      </c>
      <c r="M301">
        <v>235.6</v>
      </c>
      <c r="N301" t="s">
        <v>28</v>
      </c>
      <c r="O301">
        <v>0.9</v>
      </c>
      <c r="P301">
        <v>236.13</v>
      </c>
      <c r="Q301" t="s">
        <v>31</v>
      </c>
      <c r="R301">
        <v>0.01</v>
      </c>
      <c r="S301">
        <v>169.51</v>
      </c>
      <c r="T301" s="1" t="s">
        <v>33</v>
      </c>
      <c r="U301" s="1" t="s">
        <v>34</v>
      </c>
    </row>
    <row r="302" spans="1:21" ht="12" customHeight="1" x14ac:dyDescent="0.3">
      <c r="A302">
        <v>2021</v>
      </c>
      <c r="B302">
        <v>1</v>
      </c>
      <c r="C302">
        <v>30194</v>
      </c>
      <c r="D302">
        <v>32467</v>
      </c>
      <c r="E302" t="s">
        <v>21</v>
      </c>
      <c r="F302" t="s">
        <v>22</v>
      </c>
      <c r="G302">
        <v>11298</v>
      </c>
      <c r="H302">
        <v>11697</v>
      </c>
      <c r="I302" t="s">
        <v>27</v>
      </c>
      <c r="J302" t="s">
        <v>24</v>
      </c>
      <c r="K302">
        <v>1121</v>
      </c>
      <c r="L302">
        <v>235</v>
      </c>
      <c r="M302">
        <v>294.43</v>
      </c>
      <c r="N302" t="s">
        <v>31</v>
      </c>
      <c r="O302">
        <v>0.5</v>
      </c>
      <c r="P302">
        <v>292.76</v>
      </c>
      <c r="Q302" t="s">
        <v>31</v>
      </c>
      <c r="R302">
        <v>0.5</v>
      </c>
      <c r="S302">
        <v>292.76</v>
      </c>
      <c r="T302" s="1" t="s">
        <v>33</v>
      </c>
      <c r="U302" s="1" t="s">
        <v>34</v>
      </c>
    </row>
    <row r="303" spans="1:21" ht="12" customHeight="1" x14ac:dyDescent="0.3">
      <c r="A303">
        <v>2021</v>
      </c>
      <c r="B303">
        <v>3</v>
      </c>
      <c r="C303">
        <v>30194</v>
      </c>
      <c r="D303">
        <v>32467</v>
      </c>
      <c r="E303" t="s">
        <v>21</v>
      </c>
      <c r="F303" t="s">
        <v>22</v>
      </c>
      <c r="G303">
        <v>11259</v>
      </c>
      <c r="H303">
        <v>11697</v>
      </c>
      <c r="I303" t="s">
        <v>23</v>
      </c>
      <c r="J303" t="s">
        <v>24</v>
      </c>
      <c r="K303">
        <v>1121</v>
      </c>
      <c r="L303">
        <v>8</v>
      </c>
      <c r="M303">
        <v>216.33</v>
      </c>
      <c r="N303" t="s">
        <v>32</v>
      </c>
      <c r="O303">
        <v>0.67</v>
      </c>
      <c r="P303">
        <v>189.24</v>
      </c>
      <c r="Q303" t="s">
        <v>32</v>
      </c>
      <c r="R303">
        <v>0.67</v>
      </c>
      <c r="S303">
        <v>189.24</v>
      </c>
      <c r="T303" s="1" t="s">
        <v>33</v>
      </c>
      <c r="U303" s="1" t="s">
        <v>34</v>
      </c>
    </row>
    <row r="304" spans="1:21" ht="12" customHeight="1" x14ac:dyDescent="0.3">
      <c r="A304">
        <v>2021</v>
      </c>
      <c r="B304">
        <v>3</v>
      </c>
      <c r="C304">
        <v>30194</v>
      </c>
      <c r="D304">
        <v>32467</v>
      </c>
      <c r="E304" t="s">
        <v>21</v>
      </c>
      <c r="F304" t="s">
        <v>22</v>
      </c>
      <c r="G304">
        <v>11259</v>
      </c>
      <c r="H304">
        <v>13303</v>
      </c>
      <c r="I304" t="s">
        <v>23</v>
      </c>
      <c r="J304" t="s">
        <v>26</v>
      </c>
      <c r="K304">
        <v>1121</v>
      </c>
      <c r="L304">
        <v>4</v>
      </c>
      <c r="M304">
        <v>190.23</v>
      </c>
      <c r="N304" t="s">
        <v>37</v>
      </c>
      <c r="O304">
        <v>0.6</v>
      </c>
      <c r="P304">
        <v>194.87</v>
      </c>
      <c r="Q304" t="s">
        <v>31</v>
      </c>
      <c r="R304">
        <v>0.39</v>
      </c>
      <c r="S304">
        <v>182.98</v>
      </c>
      <c r="T304" s="1" t="s">
        <v>33</v>
      </c>
      <c r="U304" s="1" t="s">
        <v>34</v>
      </c>
    </row>
    <row r="305" spans="1:21" ht="12" customHeight="1" x14ac:dyDescent="0.3">
      <c r="A305">
        <v>2021</v>
      </c>
      <c r="B305">
        <v>4</v>
      </c>
      <c r="C305">
        <v>30194</v>
      </c>
      <c r="D305">
        <v>32467</v>
      </c>
      <c r="E305" t="s">
        <v>21</v>
      </c>
      <c r="F305" t="s">
        <v>22</v>
      </c>
      <c r="G305">
        <v>11298</v>
      </c>
      <c r="H305">
        <v>11697</v>
      </c>
      <c r="I305" t="s">
        <v>27</v>
      </c>
      <c r="J305" t="s">
        <v>24</v>
      </c>
      <c r="K305">
        <v>1121</v>
      </c>
      <c r="L305">
        <v>568</v>
      </c>
      <c r="M305">
        <v>194.44</v>
      </c>
      <c r="N305" t="s">
        <v>28</v>
      </c>
      <c r="O305">
        <v>0.56000000000000005</v>
      </c>
      <c r="P305">
        <v>197.3</v>
      </c>
      <c r="Q305" t="s">
        <v>31</v>
      </c>
      <c r="R305">
        <v>0.33</v>
      </c>
      <c r="S305">
        <v>193.77</v>
      </c>
      <c r="T305" s="1" t="s">
        <v>33</v>
      </c>
      <c r="U305" s="1" t="s">
        <v>34</v>
      </c>
    </row>
    <row r="306" spans="1:21" ht="12" customHeight="1" x14ac:dyDescent="0.3">
      <c r="A306">
        <v>2021</v>
      </c>
      <c r="B306">
        <v>3</v>
      </c>
      <c r="C306">
        <v>30194</v>
      </c>
      <c r="D306">
        <v>32467</v>
      </c>
      <c r="E306" t="s">
        <v>21</v>
      </c>
      <c r="F306" t="s">
        <v>22</v>
      </c>
      <c r="G306">
        <v>11298</v>
      </c>
      <c r="H306">
        <v>13303</v>
      </c>
      <c r="I306" t="s">
        <v>27</v>
      </c>
      <c r="J306" t="s">
        <v>26</v>
      </c>
      <c r="K306">
        <v>1121</v>
      </c>
      <c r="L306">
        <v>447</v>
      </c>
      <c r="M306">
        <v>193.61</v>
      </c>
      <c r="N306" t="s">
        <v>28</v>
      </c>
      <c r="O306">
        <v>0.76</v>
      </c>
      <c r="P306">
        <v>201.08</v>
      </c>
      <c r="Q306" t="s">
        <v>31</v>
      </c>
      <c r="R306">
        <v>0.16</v>
      </c>
      <c r="S306">
        <v>157.72</v>
      </c>
      <c r="T306" s="1" t="s">
        <v>33</v>
      </c>
      <c r="U306" s="1" t="s">
        <v>34</v>
      </c>
    </row>
    <row r="307" spans="1:21" ht="12" customHeight="1" x14ac:dyDescent="0.3">
      <c r="A307">
        <v>2021</v>
      </c>
      <c r="B307">
        <v>1</v>
      </c>
      <c r="C307">
        <v>30194</v>
      </c>
      <c r="D307">
        <v>32467</v>
      </c>
      <c r="E307" t="s">
        <v>21</v>
      </c>
      <c r="F307" t="s">
        <v>22</v>
      </c>
      <c r="G307">
        <v>11298</v>
      </c>
      <c r="H307">
        <v>11697</v>
      </c>
      <c r="I307" t="s">
        <v>27</v>
      </c>
      <c r="J307" t="s">
        <v>24</v>
      </c>
      <c r="K307">
        <v>1121</v>
      </c>
      <c r="L307">
        <v>621</v>
      </c>
      <c r="M307">
        <v>216.17</v>
      </c>
      <c r="N307" t="s">
        <v>28</v>
      </c>
      <c r="O307">
        <v>0.86</v>
      </c>
      <c r="P307">
        <v>215.56</v>
      </c>
      <c r="Q307" t="s">
        <v>35</v>
      </c>
      <c r="R307">
        <v>0.02</v>
      </c>
      <c r="S307">
        <v>193.31</v>
      </c>
      <c r="T307" s="1" t="s">
        <v>33</v>
      </c>
      <c r="U307" s="1" t="s">
        <v>34</v>
      </c>
    </row>
    <row r="308" spans="1:21" ht="12" customHeight="1" x14ac:dyDescent="0.3">
      <c r="A308">
        <v>2021</v>
      </c>
      <c r="B308">
        <v>2</v>
      </c>
      <c r="C308">
        <v>30194</v>
      </c>
      <c r="D308">
        <v>32467</v>
      </c>
      <c r="E308" t="s">
        <v>21</v>
      </c>
      <c r="F308" t="s">
        <v>22</v>
      </c>
      <c r="G308">
        <v>11298</v>
      </c>
      <c r="H308">
        <v>13303</v>
      </c>
      <c r="I308" t="s">
        <v>27</v>
      </c>
      <c r="J308" t="s">
        <v>26</v>
      </c>
      <c r="K308">
        <v>1121</v>
      </c>
      <c r="L308">
        <v>642</v>
      </c>
      <c r="M308">
        <v>227.69</v>
      </c>
      <c r="N308" t="s">
        <v>28</v>
      </c>
      <c r="O308">
        <v>0.83</v>
      </c>
      <c r="P308">
        <v>235.77</v>
      </c>
      <c r="Q308" t="s">
        <v>32</v>
      </c>
      <c r="R308">
        <v>0.02</v>
      </c>
      <c r="S308">
        <v>157.62</v>
      </c>
      <c r="T308" s="1" t="s">
        <v>33</v>
      </c>
      <c r="U308" s="1" t="s">
        <v>34</v>
      </c>
    </row>
    <row r="309" spans="1:21" ht="12" customHeight="1" x14ac:dyDescent="0.3">
      <c r="A309">
        <v>2021</v>
      </c>
      <c r="B309">
        <v>1</v>
      </c>
      <c r="C309">
        <v>30194</v>
      </c>
      <c r="D309">
        <v>32467</v>
      </c>
      <c r="E309" t="s">
        <v>21</v>
      </c>
      <c r="F309" t="s">
        <v>22</v>
      </c>
      <c r="G309">
        <v>11298</v>
      </c>
      <c r="H309">
        <v>11697</v>
      </c>
      <c r="I309" t="s">
        <v>27</v>
      </c>
      <c r="J309" t="s">
        <v>24</v>
      </c>
      <c r="K309">
        <v>1121</v>
      </c>
      <c r="L309">
        <v>585</v>
      </c>
      <c r="M309">
        <v>216.09</v>
      </c>
      <c r="N309" t="s">
        <v>28</v>
      </c>
      <c r="O309">
        <v>0.53</v>
      </c>
      <c r="P309">
        <v>215.41</v>
      </c>
      <c r="Q309" t="s">
        <v>28</v>
      </c>
      <c r="R309">
        <v>0.53</v>
      </c>
      <c r="S309">
        <v>215.41</v>
      </c>
      <c r="T309" s="1" t="s">
        <v>33</v>
      </c>
      <c r="U309" s="1" t="s">
        <v>34</v>
      </c>
    </row>
    <row r="310" spans="1:21" ht="12" customHeight="1" x14ac:dyDescent="0.3">
      <c r="A310">
        <v>2021</v>
      </c>
      <c r="B310">
        <v>1</v>
      </c>
      <c r="C310">
        <v>30194</v>
      </c>
      <c r="D310">
        <v>32467</v>
      </c>
      <c r="E310" t="s">
        <v>21</v>
      </c>
      <c r="F310" t="s">
        <v>22</v>
      </c>
      <c r="G310">
        <v>11298</v>
      </c>
      <c r="H310">
        <v>13303</v>
      </c>
      <c r="I310" t="s">
        <v>27</v>
      </c>
      <c r="J310" t="s">
        <v>26</v>
      </c>
      <c r="K310">
        <v>1121</v>
      </c>
      <c r="L310">
        <v>511</v>
      </c>
      <c r="M310">
        <v>251.74</v>
      </c>
      <c r="N310" t="s">
        <v>28</v>
      </c>
      <c r="O310">
        <v>0.78</v>
      </c>
      <c r="P310">
        <v>262.55</v>
      </c>
      <c r="Q310" t="s">
        <v>35</v>
      </c>
      <c r="R310">
        <v>0.02</v>
      </c>
      <c r="S310">
        <v>177.69</v>
      </c>
      <c r="T310" s="1" t="s">
        <v>33</v>
      </c>
      <c r="U310" s="1" t="s">
        <v>34</v>
      </c>
    </row>
    <row r="311" spans="1:21" ht="12" customHeight="1" x14ac:dyDescent="0.3">
      <c r="A311">
        <v>2021</v>
      </c>
      <c r="B311">
        <v>1</v>
      </c>
      <c r="C311">
        <v>30194</v>
      </c>
      <c r="D311">
        <v>32467</v>
      </c>
      <c r="E311" t="s">
        <v>21</v>
      </c>
      <c r="F311" t="s">
        <v>22</v>
      </c>
      <c r="G311">
        <v>11298</v>
      </c>
      <c r="H311">
        <v>11697</v>
      </c>
      <c r="I311" t="s">
        <v>27</v>
      </c>
      <c r="J311" t="s">
        <v>24</v>
      </c>
      <c r="K311">
        <v>1121</v>
      </c>
      <c r="L311">
        <v>587</v>
      </c>
      <c r="M311">
        <v>234.42</v>
      </c>
      <c r="N311" t="s">
        <v>28</v>
      </c>
      <c r="O311">
        <v>0.83</v>
      </c>
      <c r="P311">
        <v>231.91</v>
      </c>
      <c r="Q311" t="s">
        <v>31</v>
      </c>
      <c r="R311">
        <v>0.05</v>
      </c>
      <c r="S311">
        <v>224.7</v>
      </c>
      <c r="T311" s="1" t="s">
        <v>33</v>
      </c>
      <c r="U311" s="1" t="s">
        <v>34</v>
      </c>
    </row>
    <row r="312" spans="1:21" ht="12" customHeight="1" x14ac:dyDescent="0.3">
      <c r="A312">
        <v>2021</v>
      </c>
      <c r="B312">
        <v>4</v>
      </c>
      <c r="C312">
        <v>30194</v>
      </c>
      <c r="D312">
        <v>32467</v>
      </c>
      <c r="E312" t="s">
        <v>21</v>
      </c>
      <c r="F312" t="s">
        <v>22</v>
      </c>
      <c r="G312">
        <v>11298</v>
      </c>
      <c r="H312">
        <v>13303</v>
      </c>
      <c r="I312" t="s">
        <v>27</v>
      </c>
      <c r="J312" t="s">
        <v>26</v>
      </c>
      <c r="K312">
        <v>1121</v>
      </c>
      <c r="L312">
        <v>455</v>
      </c>
      <c r="M312">
        <v>221.57</v>
      </c>
      <c r="N312" t="s">
        <v>28</v>
      </c>
      <c r="O312">
        <v>0.85</v>
      </c>
      <c r="P312">
        <v>229.7</v>
      </c>
      <c r="Q312" t="s">
        <v>35</v>
      </c>
      <c r="R312">
        <v>0.02</v>
      </c>
      <c r="S312">
        <v>126.41</v>
      </c>
      <c r="T312" s="1" t="s">
        <v>33</v>
      </c>
      <c r="U312" s="1" t="s">
        <v>34</v>
      </c>
    </row>
    <row r="313" spans="1:21" ht="12" customHeight="1" x14ac:dyDescent="0.3">
      <c r="A313">
        <v>2021</v>
      </c>
      <c r="B313">
        <v>1</v>
      </c>
      <c r="C313">
        <v>30194</v>
      </c>
      <c r="D313">
        <v>32467</v>
      </c>
      <c r="E313" t="s">
        <v>21</v>
      </c>
      <c r="F313" t="s">
        <v>22</v>
      </c>
      <c r="G313">
        <v>11298</v>
      </c>
      <c r="H313">
        <v>13303</v>
      </c>
      <c r="I313" t="s">
        <v>27</v>
      </c>
      <c r="J313" t="s">
        <v>26</v>
      </c>
      <c r="K313">
        <v>1121</v>
      </c>
      <c r="L313">
        <v>591</v>
      </c>
      <c r="M313">
        <v>224.18</v>
      </c>
      <c r="N313" t="s">
        <v>28</v>
      </c>
      <c r="O313">
        <v>0.9</v>
      </c>
      <c r="P313">
        <v>224.13</v>
      </c>
      <c r="Q313" t="s">
        <v>38</v>
      </c>
      <c r="R313">
        <v>0.01</v>
      </c>
      <c r="S313">
        <v>189.46</v>
      </c>
      <c r="T313" s="1" t="s">
        <v>33</v>
      </c>
      <c r="U313" s="1" t="s">
        <v>34</v>
      </c>
    </row>
    <row r="314" spans="1:21" ht="12" customHeight="1" x14ac:dyDescent="0.3">
      <c r="A314">
        <v>2021</v>
      </c>
      <c r="B314">
        <v>3</v>
      </c>
      <c r="C314">
        <v>30194</v>
      </c>
      <c r="D314">
        <v>32467</v>
      </c>
      <c r="E314" t="s">
        <v>21</v>
      </c>
      <c r="F314" t="s">
        <v>22</v>
      </c>
      <c r="G314">
        <v>11298</v>
      </c>
      <c r="H314">
        <v>13303</v>
      </c>
      <c r="I314" t="s">
        <v>27</v>
      </c>
      <c r="J314" t="s">
        <v>26</v>
      </c>
      <c r="K314">
        <v>1121</v>
      </c>
      <c r="L314">
        <v>607</v>
      </c>
      <c r="M314">
        <v>209.92</v>
      </c>
      <c r="N314" t="s">
        <v>28</v>
      </c>
      <c r="O314">
        <v>0.9</v>
      </c>
      <c r="P314">
        <v>211.88</v>
      </c>
      <c r="Q314" t="s">
        <v>31</v>
      </c>
      <c r="R314">
        <v>0.04</v>
      </c>
      <c r="S314">
        <v>152.31</v>
      </c>
      <c r="T314" s="1" t="s">
        <v>33</v>
      </c>
      <c r="U314" s="1" t="s">
        <v>34</v>
      </c>
    </row>
    <row r="315" spans="1:21" ht="12" customHeight="1" x14ac:dyDescent="0.3">
      <c r="A315">
        <v>2021</v>
      </c>
      <c r="B315">
        <v>1</v>
      </c>
      <c r="C315">
        <v>30194</v>
      </c>
      <c r="D315">
        <v>32467</v>
      </c>
      <c r="E315" t="s">
        <v>21</v>
      </c>
      <c r="F315" t="s">
        <v>22</v>
      </c>
      <c r="G315">
        <v>11298</v>
      </c>
      <c r="H315">
        <v>13303</v>
      </c>
      <c r="I315" t="s">
        <v>27</v>
      </c>
      <c r="J315" t="s">
        <v>26</v>
      </c>
      <c r="K315">
        <v>1121</v>
      </c>
      <c r="L315">
        <v>504</v>
      </c>
      <c r="M315">
        <v>273.61</v>
      </c>
      <c r="N315" t="s">
        <v>28</v>
      </c>
      <c r="O315">
        <v>0.79</v>
      </c>
      <c r="P315">
        <v>287.87</v>
      </c>
      <c r="Q315" t="s">
        <v>36</v>
      </c>
      <c r="R315">
        <v>0.01</v>
      </c>
      <c r="S315">
        <v>140.65</v>
      </c>
      <c r="T315" s="1" t="s">
        <v>33</v>
      </c>
      <c r="U315" s="1" t="s">
        <v>34</v>
      </c>
    </row>
    <row r="316" spans="1:21" ht="12" customHeight="1" x14ac:dyDescent="0.3">
      <c r="A316">
        <v>2021</v>
      </c>
      <c r="B316">
        <v>1</v>
      </c>
      <c r="C316">
        <v>30194</v>
      </c>
      <c r="D316">
        <v>32467</v>
      </c>
      <c r="E316" t="s">
        <v>21</v>
      </c>
      <c r="F316" t="s">
        <v>22</v>
      </c>
      <c r="G316">
        <v>11298</v>
      </c>
      <c r="H316">
        <v>13303</v>
      </c>
      <c r="I316" t="s">
        <v>27</v>
      </c>
      <c r="J316" t="s">
        <v>26</v>
      </c>
      <c r="K316">
        <v>1121</v>
      </c>
      <c r="L316">
        <v>646</v>
      </c>
      <c r="M316">
        <v>197.37</v>
      </c>
      <c r="N316" t="s">
        <v>28</v>
      </c>
      <c r="O316">
        <v>0.93</v>
      </c>
      <c r="P316">
        <v>195.7</v>
      </c>
      <c r="Q316" t="s">
        <v>28</v>
      </c>
      <c r="R316">
        <v>0.93</v>
      </c>
      <c r="S316">
        <v>195.7</v>
      </c>
      <c r="T316" s="1" t="s">
        <v>33</v>
      </c>
      <c r="U316" s="1" t="s">
        <v>34</v>
      </c>
    </row>
    <row r="317" spans="1:21" ht="12" customHeight="1" x14ac:dyDescent="0.3">
      <c r="A317">
        <v>2021</v>
      </c>
      <c r="B317">
        <v>1</v>
      </c>
      <c r="C317">
        <v>30194</v>
      </c>
      <c r="D317">
        <v>32467</v>
      </c>
      <c r="E317" t="s">
        <v>21</v>
      </c>
      <c r="F317" t="s">
        <v>22</v>
      </c>
      <c r="G317">
        <v>11298</v>
      </c>
      <c r="H317">
        <v>13303</v>
      </c>
      <c r="I317" t="s">
        <v>27</v>
      </c>
      <c r="J317" t="s">
        <v>26</v>
      </c>
      <c r="K317">
        <v>1121</v>
      </c>
      <c r="L317">
        <v>631</v>
      </c>
      <c r="M317">
        <v>301.52</v>
      </c>
      <c r="N317" t="s">
        <v>28</v>
      </c>
      <c r="O317">
        <v>0.88</v>
      </c>
      <c r="P317">
        <v>309.35000000000002</v>
      </c>
      <c r="Q317" t="s">
        <v>37</v>
      </c>
      <c r="R317">
        <v>0.01</v>
      </c>
      <c r="S317">
        <v>184.79</v>
      </c>
      <c r="T317" s="1" t="s">
        <v>33</v>
      </c>
      <c r="U317" s="1" t="s">
        <v>34</v>
      </c>
    </row>
    <row r="318" spans="1:21" ht="12" customHeight="1" x14ac:dyDescent="0.3">
      <c r="A318">
        <v>2021</v>
      </c>
      <c r="B318">
        <v>3</v>
      </c>
      <c r="C318">
        <v>30194</v>
      </c>
      <c r="D318">
        <v>32467</v>
      </c>
      <c r="E318" t="s">
        <v>21</v>
      </c>
      <c r="F318" t="s">
        <v>22</v>
      </c>
      <c r="G318">
        <v>11298</v>
      </c>
      <c r="H318">
        <v>13303</v>
      </c>
      <c r="I318" t="s">
        <v>27</v>
      </c>
      <c r="J318" t="s">
        <v>26</v>
      </c>
      <c r="K318">
        <v>1121</v>
      </c>
      <c r="L318">
        <v>820</v>
      </c>
      <c r="M318">
        <v>191.05</v>
      </c>
      <c r="N318" t="s">
        <v>28</v>
      </c>
      <c r="O318">
        <v>0.95</v>
      </c>
      <c r="P318">
        <v>191.29</v>
      </c>
      <c r="Q318" t="s">
        <v>31</v>
      </c>
      <c r="R318">
        <v>0.01</v>
      </c>
      <c r="S318">
        <v>171.11</v>
      </c>
      <c r="T318" s="1" t="s">
        <v>33</v>
      </c>
      <c r="U318" s="1" t="s">
        <v>34</v>
      </c>
    </row>
    <row r="319" spans="1:21" ht="12" customHeight="1" x14ac:dyDescent="0.3">
      <c r="A319">
        <v>2021</v>
      </c>
      <c r="B319">
        <v>3</v>
      </c>
      <c r="C319">
        <v>30194</v>
      </c>
      <c r="D319">
        <v>32467</v>
      </c>
      <c r="E319" t="s">
        <v>21</v>
      </c>
      <c r="F319" t="s">
        <v>22</v>
      </c>
      <c r="G319">
        <v>11259</v>
      </c>
      <c r="H319">
        <v>13303</v>
      </c>
      <c r="I319" t="s">
        <v>23</v>
      </c>
      <c r="J319" t="s">
        <v>26</v>
      </c>
      <c r="K319">
        <v>1121</v>
      </c>
      <c r="L319">
        <v>16</v>
      </c>
      <c r="M319">
        <v>141.22</v>
      </c>
      <c r="N319" t="s">
        <v>31</v>
      </c>
      <c r="O319">
        <v>1</v>
      </c>
      <c r="P319">
        <v>141.22</v>
      </c>
      <c r="Q319" t="s">
        <v>31</v>
      </c>
      <c r="R319">
        <v>1</v>
      </c>
      <c r="S319">
        <v>141.22</v>
      </c>
      <c r="T319" s="1" t="s">
        <v>33</v>
      </c>
      <c r="U319" s="1" t="s">
        <v>34</v>
      </c>
    </row>
    <row r="320" spans="1:21" ht="12" customHeight="1" x14ac:dyDescent="0.3">
      <c r="A320">
        <v>2021</v>
      </c>
      <c r="B320">
        <v>1</v>
      </c>
      <c r="C320">
        <v>30194</v>
      </c>
      <c r="D320">
        <v>32467</v>
      </c>
      <c r="E320" t="s">
        <v>21</v>
      </c>
      <c r="F320" t="s">
        <v>22</v>
      </c>
      <c r="G320">
        <v>11259</v>
      </c>
      <c r="H320">
        <v>13303</v>
      </c>
      <c r="I320" t="s">
        <v>23</v>
      </c>
      <c r="J320" t="s">
        <v>26</v>
      </c>
      <c r="K320">
        <v>1121</v>
      </c>
      <c r="L320">
        <v>14</v>
      </c>
      <c r="M320">
        <v>180.45</v>
      </c>
      <c r="N320" t="s">
        <v>31</v>
      </c>
      <c r="O320">
        <v>0.75</v>
      </c>
      <c r="P320">
        <v>172.62</v>
      </c>
      <c r="Q320" t="s">
        <v>31</v>
      </c>
      <c r="R320">
        <v>0.75</v>
      </c>
      <c r="S320">
        <v>172.62</v>
      </c>
      <c r="T320" s="1" t="s">
        <v>33</v>
      </c>
      <c r="U320" s="1" t="s">
        <v>34</v>
      </c>
    </row>
    <row r="321" spans="1:21" ht="12" customHeight="1" x14ac:dyDescent="0.3">
      <c r="A321">
        <v>2021</v>
      </c>
      <c r="B321">
        <v>3</v>
      </c>
      <c r="C321">
        <v>30194</v>
      </c>
      <c r="D321">
        <v>32467</v>
      </c>
      <c r="E321" t="s">
        <v>21</v>
      </c>
      <c r="F321" t="s">
        <v>22</v>
      </c>
      <c r="G321">
        <v>11298</v>
      </c>
      <c r="H321">
        <v>11697</v>
      </c>
      <c r="I321" t="s">
        <v>27</v>
      </c>
      <c r="J321" t="s">
        <v>24</v>
      </c>
      <c r="K321">
        <v>1121</v>
      </c>
      <c r="L321">
        <v>988</v>
      </c>
      <c r="M321">
        <v>132.41</v>
      </c>
      <c r="N321" t="s">
        <v>28</v>
      </c>
      <c r="O321">
        <v>0.7</v>
      </c>
      <c r="P321">
        <v>144.31</v>
      </c>
      <c r="Q321" t="s">
        <v>29</v>
      </c>
      <c r="R321">
        <v>0.24</v>
      </c>
      <c r="S321">
        <v>88.07</v>
      </c>
      <c r="T321" s="1" t="s">
        <v>33</v>
      </c>
      <c r="U321" s="1" t="s">
        <v>34</v>
      </c>
    </row>
    <row r="322" spans="1:21" ht="12" customHeight="1" x14ac:dyDescent="0.3">
      <c r="A322">
        <v>2021</v>
      </c>
      <c r="B322">
        <v>4</v>
      </c>
      <c r="C322">
        <v>30194</v>
      </c>
      <c r="D322">
        <v>32467</v>
      </c>
      <c r="E322" t="s">
        <v>21</v>
      </c>
      <c r="F322" t="s">
        <v>22</v>
      </c>
      <c r="G322">
        <v>11298</v>
      </c>
      <c r="H322">
        <v>11697</v>
      </c>
      <c r="I322" t="s">
        <v>27</v>
      </c>
      <c r="J322" t="s">
        <v>24</v>
      </c>
      <c r="K322">
        <v>1121</v>
      </c>
      <c r="L322">
        <v>866</v>
      </c>
      <c r="M322">
        <v>148.22999999999999</v>
      </c>
      <c r="N322" t="s">
        <v>28</v>
      </c>
      <c r="O322">
        <v>0.76</v>
      </c>
      <c r="P322">
        <v>158.83000000000001</v>
      </c>
      <c r="Q322" t="s">
        <v>29</v>
      </c>
      <c r="R322">
        <v>0.2</v>
      </c>
      <c r="S322">
        <v>94.94</v>
      </c>
      <c r="T322" s="1" t="s">
        <v>33</v>
      </c>
      <c r="U322" s="1" t="s">
        <v>34</v>
      </c>
    </row>
    <row r="323" spans="1:21" ht="12" customHeight="1" x14ac:dyDescent="0.3">
      <c r="A323">
        <v>2021</v>
      </c>
      <c r="B323">
        <v>2</v>
      </c>
      <c r="C323">
        <v>30194</v>
      </c>
      <c r="D323">
        <v>32467</v>
      </c>
      <c r="E323" t="s">
        <v>21</v>
      </c>
      <c r="F323" t="s">
        <v>22</v>
      </c>
      <c r="G323">
        <v>11298</v>
      </c>
      <c r="H323">
        <v>13303</v>
      </c>
      <c r="I323" t="s">
        <v>27</v>
      </c>
      <c r="J323" t="s">
        <v>26</v>
      </c>
      <c r="K323">
        <v>1121</v>
      </c>
      <c r="L323">
        <v>739</v>
      </c>
      <c r="M323">
        <v>246.39</v>
      </c>
      <c r="N323" t="s">
        <v>28</v>
      </c>
      <c r="O323">
        <v>0.86</v>
      </c>
      <c r="P323">
        <v>254.94</v>
      </c>
      <c r="Q323" t="s">
        <v>37</v>
      </c>
      <c r="R323">
        <v>0.01</v>
      </c>
      <c r="S323">
        <v>158.58000000000001</v>
      </c>
      <c r="T323" s="1" t="s">
        <v>33</v>
      </c>
      <c r="U323" s="1" t="s">
        <v>34</v>
      </c>
    </row>
    <row r="324" spans="1:21" ht="12" customHeight="1" x14ac:dyDescent="0.3">
      <c r="A324">
        <v>2021</v>
      </c>
      <c r="B324">
        <v>2</v>
      </c>
      <c r="C324">
        <v>30194</v>
      </c>
      <c r="D324">
        <v>32467</v>
      </c>
      <c r="E324" t="s">
        <v>21</v>
      </c>
      <c r="F324" t="s">
        <v>22</v>
      </c>
      <c r="G324">
        <v>11259</v>
      </c>
      <c r="H324">
        <v>13303</v>
      </c>
      <c r="I324" t="s">
        <v>23</v>
      </c>
      <c r="J324" t="s">
        <v>26</v>
      </c>
      <c r="K324">
        <v>1121</v>
      </c>
      <c r="L324">
        <v>21</v>
      </c>
      <c r="M324">
        <v>137.75</v>
      </c>
      <c r="N324" t="s">
        <v>31</v>
      </c>
      <c r="O324">
        <v>0.98</v>
      </c>
      <c r="P324">
        <v>137.32</v>
      </c>
      <c r="Q324" t="s">
        <v>31</v>
      </c>
      <c r="R324">
        <v>0.98</v>
      </c>
      <c r="S324">
        <v>137.32</v>
      </c>
      <c r="T324" s="1" t="s">
        <v>33</v>
      </c>
      <c r="U324" s="1" t="s">
        <v>34</v>
      </c>
    </row>
    <row r="325" spans="1:21" ht="12" customHeight="1" x14ac:dyDescent="0.3">
      <c r="A325">
        <v>2021</v>
      </c>
      <c r="B325">
        <v>1</v>
      </c>
      <c r="C325">
        <v>30194</v>
      </c>
      <c r="D325">
        <v>32467</v>
      </c>
      <c r="E325" t="s">
        <v>21</v>
      </c>
      <c r="F325" t="s">
        <v>22</v>
      </c>
      <c r="G325">
        <v>11259</v>
      </c>
      <c r="H325">
        <v>11697</v>
      </c>
      <c r="I325" t="s">
        <v>23</v>
      </c>
      <c r="J325" t="s">
        <v>24</v>
      </c>
      <c r="K325">
        <v>1121</v>
      </c>
      <c r="L325">
        <v>367</v>
      </c>
      <c r="M325">
        <v>159.12</v>
      </c>
      <c r="N325" t="s">
        <v>25</v>
      </c>
      <c r="O325">
        <v>0.94</v>
      </c>
      <c r="P325">
        <v>159.31</v>
      </c>
      <c r="Q325" t="s">
        <v>31</v>
      </c>
      <c r="R325">
        <v>0.04</v>
      </c>
      <c r="S325">
        <v>155.5</v>
      </c>
      <c r="T325" s="1" t="s">
        <v>33</v>
      </c>
      <c r="U325" s="1" t="s">
        <v>34</v>
      </c>
    </row>
    <row r="326" spans="1:21" ht="12" customHeight="1" x14ac:dyDescent="0.3">
      <c r="A326">
        <v>2021</v>
      </c>
      <c r="B326">
        <v>2</v>
      </c>
      <c r="C326">
        <v>30194</v>
      </c>
      <c r="D326">
        <v>32467</v>
      </c>
      <c r="E326" t="s">
        <v>21</v>
      </c>
      <c r="F326" t="s">
        <v>22</v>
      </c>
      <c r="G326">
        <v>11298</v>
      </c>
      <c r="H326">
        <v>11697</v>
      </c>
      <c r="I326" t="s">
        <v>27</v>
      </c>
      <c r="J326" t="s">
        <v>24</v>
      </c>
      <c r="K326">
        <v>1121</v>
      </c>
      <c r="L326">
        <v>856</v>
      </c>
      <c r="M326">
        <v>155.41999999999999</v>
      </c>
      <c r="N326" t="s">
        <v>28</v>
      </c>
      <c r="O326">
        <v>0.57999999999999996</v>
      </c>
      <c r="P326">
        <v>185.43</v>
      </c>
      <c r="Q326" t="s">
        <v>29</v>
      </c>
      <c r="R326">
        <v>0.3</v>
      </c>
      <c r="S326">
        <v>90.93</v>
      </c>
      <c r="T326" s="1" t="s">
        <v>33</v>
      </c>
      <c r="U326" s="1" t="s">
        <v>34</v>
      </c>
    </row>
    <row r="327" spans="1:21" ht="12" customHeight="1" x14ac:dyDescent="0.3">
      <c r="A327">
        <v>2021</v>
      </c>
      <c r="B327">
        <v>3</v>
      </c>
      <c r="C327">
        <v>30194</v>
      </c>
      <c r="D327">
        <v>32467</v>
      </c>
      <c r="E327" t="s">
        <v>21</v>
      </c>
      <c r="F327" t="s">
        <v>22</v>
      </c>
      <c r="G327">
        <v>11259</v>
      </c>
      <c r="H327">
        <v>11697</v>
      </c>
      <c r="I327" t="s">
        <v>23</v>
      </c>
      <c r="J327" t="s">
        <v>24</v>
      </c>
      <c r="K327">
        <v>1121</v>
      </c>
      <c r="L327">
        <v>434</v>
      </c>
      <c r="M327">
        <v>136.33000000000001</v>
      </c>
      <c r="N327" t="s">
        <v>25</v>
      </c>
      <c r="O327">
        <v>0.94</v>
      </c>
      <c r="P327">
        <v>135.72</v>
      </c>
      <c r="Q327" t="s">
        <v>25</v>
      </c>
      <c r="R327">
        <v>0.94</v>
      </c>
      <c r="S327">
        <v>135.72</v>
      </c>
      <c r="T327" s="1" t="s">
        <v>33</v>
      </c>
      <c r="U327" s="1" t="s">
        <v>34</v>
      </c>
    </row>
    <row r="328" spans="1:21" ht="12" customHeight="1" x14ac:dyDescent="0.3">
      <c r="A328">
        <v>2021</v>
      </c>
      <c r="B328">
        <v>4</v>
      </c>
      <c r="C328">
        <v>30194</v>
      </c>
      <c r="D328">
        <v>32467</v>
      </c>
      <c r="E328" t="s">
        <v>21</v>
      </c>
      <c r="F328" t="s">
        <v>22</v>
      </c>
      <c r="G328">
        <v>11259</v>
      </c>
      <c r="H328">
        <v>13303</v>
      </c>
      <c r="I328" t="s">
        <v>23</v>
      </c>
      <c r="J328" t="s">
        <v>26</v>
      </c>
      <c r="K328">
        <v>1121</v>
      </c>
      <c r="L328">
        <v>6</v>
      </c>
      <c r="M328">
        <v>184.82</v>
      </c>
      <c r="N328" t="s">
        <v>31</v>
      </c>
      <c r="O328">
        <v>0.98</v>
      </c>
      <c r="P328">
        <v>184.8</v>
      </c>
      <c r="Q328" t="s">
        <v>31</v>
      </c>
      <c r="R328">
        <v>0.98</v>
      </c>
      <c r="S328">
        <v>184.8</v>
      </c>
      <c r="T328" s="1" t="s">
        <v>33</v>
      </c>
      <c r="U328" s="1" t="s">
        <v>34</v>
      </c>
    </row>
    <row r="329" spans="1:21" ht="12" customHeight="1" x14ac:dyDescent="0.3">
      <c r="A329">
        <v>2021</v>
      </c>
      <c r="B329">
        <v>4</v>
      </c>
      <c r="C329">
        <v>30194</v>
      </c>
      <c r="D329">
        <v>32467</v>
      </c>
      <c r="E329" t="s">
        <v>21</v>
      </c>
      <c r="F329" t="s">
        <v>22</v>
      </c>
      <c r="G329">
        <v>11298</v>
      </c>
      <c r="H329">
        <v>13303</v>
      </c>
      <c r="I329" t="s">
        <v>27</v>
      </c>
      <c r="J329" t="s">
        <v>26</v>
      </c>
      <c r="K329">
        <v>1121</v>
      </c>
      <c r="L329">
        <v>1043</v>
      </c>
      <c r="M329">
        <v>166.73</v>
      </c>
      <c r="N329" t="s">
        <v>28</v>
      </c>
      <c r="O329">
        <v>0.97</v>
      </c>
      <c r="P329">
        <v>165.13</v>
      </c>
      <c r="Q329" t="s">
        <v>28</v>
      </c>
      <c r="R329">
        <v>0.97</v>
      </c>
      <c r="S329">
        <v>165.13</v>
      </c>
      <c r="T329" s="1" t="s">
        <v>33</v>
      </c>
      <c r="U329" s="1" t="s">
        <v>34</v>
      </c>
    </row>
    <row r="330" spans="1:21" ht="12" customHeight="1" x14ac:dyDescent="0.3">
      <c r="A330">
        <v>2021</v>
      </c>
      <c r="B330">
        <v>2</v>
      </c>
      <c r="C330">
        <v>30194</v>
      </c>
      <c r="D330">
        <v>32467</v>
      </c>
      <c r="E330" t="s">
        <v>21</v>
      </c>
      <c r="F330" t="s">
        <v>22</v>
      </c>
      <c r="G330">
        <v>11259</v>
      </c>
      <c r="H330">
        <v>11697</v>
      </c>
      <c r="I330" t="s">
        <v>23</v>
      </c>
      <c r="J330" t="s">
        <v>24</v>
      </c>
      <c r="K330">
        <v>1121</v>
      </c>
      <c r="L330">
        <v>449</v>
      </c>
      <c r="M330">
        <v>147.22</v>
      </c>
      <c r="N330" t="s">
        <v>25</v>
      </c>
      <c r="O330">
        <v>0.94</v>
      </c>
      <c r="P330">
        <v>147.32</v>
      </c>
      <c r="Q330" t="s">
        <v>31</v>
      </c>
      <c r="R330">
        <v>0.05</v>
      </c>
      <c r="S330">
        <v>143.91999999999999</v>
      </c>
      <c r="T330" s="1" t="s">
        <v>33</v>
      </c>
      <c r="U330" s="1" t="s">
        <v>34</v>
      </c>
    </row>
    <row r="331" spans="1:21" ht="12" customHeight="1" x14ac:dyDescent="0.3">
      <c r="A331">
        <v>2021</v>
      </c>
      <c r="B331">
        <v>1</v>
      </c>
      <c r="C331">
        <v>30194</v>
      </c>
      <c r="D331">
        <v>32467</v>
      </c>
      <c r="E331" t="s">
        <v>21</v>
      </c>
      <c r="F331" t="s">
        <v>22</v>
      </c>
      <c r="G331">
        <v>11298</v>
      </c>
      <c r="H331">
        <v>11697</v>
      </c>
      <c r="I331" t="s">
        <v>27</v>
      </c>
      <c r="J331" t="s">
        <v>24</v>
      </c>
      <c r="K331">
        <v>1121</v>
      </c>
      <c r="L331">
        <v>731</v>
      </c>
      <c r="M331">
        <v>199.9</v>
      </c>
      <c r="N331" t="s">
        <v>28</v>
      </c>
      <c r="O331">
        <v>0.59</v>
      </c>
      <c r="P331">
        <v>235.01</v>
      </c>
      <c r="Q331" t="s">
        <v>29</v>
      </c>
      <c r="R331">
        <v>0.28000000000000003</v>
      </c>
      <c r="S331">
        <v>112.64</v>
      </c>
      <c r="T331" s="1" t="s">
        <v>33</v>
      </c>
      <c r="U331" s="1" t="s">
        <v>34</v>
      </c>
    </row>
    <row r="332" spans="1:21" ht="12" customHeight="1" x14ac:dyDescent="0.3">
      <c r="A332">
        <v>2021</v>
      </c>
      <c r="B332">
        <v>4</v>
      </c>
      <c r="C332">
        <v>30194</v>
      </c>
      <c r="D332">
        <v>32467</v>
      </c>
      <c r="E332" t="s">
        <v>21</v>
      </c>
      <c r="F332" t="s">
        <v>22</v>
      </c>
      <c r="G332">
        <v>11259</v>
      </c>
      <c r="H332">
        <v>11697</v>
      </c>
      <c r="I332" t="s">
        <v>23</v>
      </c>
      <c r="J332" t="s">
        <v>24</v>
      </c>
      <c r="K332">
        <v>1121</v>
      </c>
      <c r="L332">
        <v>378</v>
      </c>
      <c r="M332">
        <v>149.4</v>
      </c>
      <c r="N332" t="s">
        <v>25</v>
      </c>
      <c r="O332">
        <v>0.97</v>
      </c>
      <c r="P332">
        <v>148.51</v>
      </c>
      <c r="Q332" t="s">
        <v>25</v>
      </c>
      <c r="R332">
        <v>0.97</v>
      </c>
      <c r="S332">
        <v>148.51</v>
      </c>
      <c r="T332" s="1" t="s">
        <v>33</v>
      </c>
      <c r="U332" s="1" t="s">
        <v>34</v>
      </c>
    </row>
    <row r="333" spans="1:21" ht="12" customHeight="1" x14ac:dyDescent="0.3">
      <c r="A333">
        <v>2021</v>
      </c>
      <c r="B333">
        <v>1</v>
      </c>
      <c r="C333">
        <v>30194</v>
      </c>
      <c r="D333">
        <v>32467</v>
      </c>
      <c r="E333" t="s">
        <v>21</v>
      </c>
      <c r="F333" t="s">
        <v>22</v>
      </c>
      <c r="G333">
        <v>11259</v>
      </c>
      <c r="H333">
        <v>11697</v>
      </c>
      <c r="I333" t="s">
        <v>23</v>
      </c>
      <c r="J333" t="s">
        <v>24</v>
      </c>
      <c r="K333">
        <v>1121</v>
      </c>
      <c r="L333">
        <v>402</v>
      </c>
      <c r="M333">
        <v>140.38999999999999</v>
      </c>
      <c r="N333" t="s">
        <v>25</v>
      </c>
      <c r="O333">
        <v>0.97809999999999997</v>
      </c>
      <c r="P333">
        <v>139.22999999999999</v>
      </c>
      <c r="Q333" t="s">
        <v>25</v>
      </c>
      <c r="R333">
        <v>0.97809999999999997</v>
      </c>
      <c r="S333">
        <v>139.22999999999999</v>
      </c>
      <c r="T333" s="1" t="s">
        <v>33</v>
      </c>
      <c r="U333" s="1" t="s">
        <v>34</v>
      </c>
    </row>
    <row r="334" spans="1:21" ht="12" customHeight="1" x14ac:dyDescent="0.3">
      <c r="A334">
        <v>2021</v>
      </c>
      <c r="B334">
        <v>1</v>
      </c>
      <c r="C334">
        <v>30194</v>
      </c>
      <c r="D334">
        <v>32467</v>
      </c>
      <c r="E334" t="s">
        <v>21</v>
      </c>
      <c r="F334" t="s">
        <v>22</v>
      </c>
      <c r="G334">
        <v>11259</v>
      </c>
      <c r="H334">
        <v>13303</v>
      </c>
      <c r="I334" t="s">
        <v>23</v>
      </c>
      <c r="J334" t="s">
        <v>26</v>
      </c>
      <c r="K334">
        <v>1121</v>
      </c>
      <c r="L334">
        <v>5</v>
      </c>
      <c r="M334">
        <v>214.23</v>
      </c>
      <c r="N334" t="s">
        <v>31</v>
      </c>
      <c r="O334">
        <v>1</v>
      </c>
      <c r="P334">
        <v>214.23</v>
      </c>
      <c r="Q334" t="s">
        <v>31</v>
      </c>
      <c r="R334">
        <v>1</v>
      </c>
      <c r="S334">
        <v>214.23</v>
      </c>
      <c r="T334" s="1" t="s">
        <v>33</v>
      </c>
      <c r="U334" s="1" t="s">
        <v>34</v>
      </c>
    </row>
    <row r="335" spans="1:21" ht="12" customHeight="1" x14ac:dyDescent="0.3">
      <c r="A335">
        <v>2021</v>
      </c>
      <c r="B335">
        <v>1</v>
      </c>
      <c r="C335">
        <v>30194</v>
      </c>
      <c r="D335">
        <v>32467</v>
      </c>
      <c r="E335" t="s">
        <v>21</v>
      </c>
      <c r="F335" t="s">
        <v>22</v>
      </c>
      <c r="G335">
        <v>11298</v>
      </c>
      <c r="H335">
        <v>11697</v>
      </c>
      <c r="I335" t="s">
        <v>27</v>
      </c>
      <c r="J335" t="s">
        <v>24</v>
      </c>
      <c r="K335">
        <v>1121</v>
      </c>
      <c r="L335">
        <v>812</v>
      </c>
      <c r="M335">
        <v>155.81</v>
      </c>
      <c r="N335" t="s">
        <v>28</v>
      </c>
      <c r="O335">
        <v>0.78390000000000004</v>
      </c>
      <c r="P335">
        <v>163.19999999999999</v>
      </c>
      <c r="Q335" t="s">
        <v>29</v>
      </c>
      <c r="R335">
        <v>0.17249999999999999</v>
      </c>
      <c r="S335">
        <v>104.94</v>
      </c>
      <c r="T335" s="1" t="s">
        <v>33</v>
      </c>
      <c r="U335" s="1" t="s">
        <v>34</v>
      </c>
    </row>
    <row r="336" spans="1:21" ht="12" customHeight="1" x14ac:dyDescent="0.3">
      <c r="A336">
        <v>2021</v>
      </c>
      <c r="B336">
        <v>1</v>
      </c>
      <c r="C336">
        <v>30194</v>
      </c>
      <c r="D336">
        <v>32467</v>
      </c>
      <c r="E336" t="s">
        <v>21</v>
      </c>
      <c r="F336" t="s">
        <v>22</v>
      </c>
      <c r="G336">
        <v>11298</v>
      </c>
      <c r="H336">
        <v>13303</v>
      </c>
      <c r="I336" t="s">
        <v>27</v>
      </c>
      <c r="J336" t="s">
        <v>26</v>
      </c>
      <c r="K336">
        <v>1121</v>
      </c>
      <c r="L336">
        <v>1051</v>
      </c>
      <c r="M336">
        <v>172.11</v>
      </c>
      <c r="N336" t="s">
        <v>28</v>
      </c>
      <c r="O336">
        <v>0.96840000000000004</v>
      </c>
      <c r="P336">
        <v>169.75</v>
      </c>
      <c r="Q336" t="s">
        <v>28</v>
      </c>
      <c r="R336">
        <v>0.96840000000000004</v>
      </c>
      <c r="S336">
        <v>169.75</v>
      </c>
      <c r="T336" s="1" t="s">
        <v>33</v>
      </c>
      <c r="U336" s="1" t="s">
        <v>34</v>
      </c>
    </row>
    <row r="337" spans="1:21" ht="12" customHeight="1" x14ac:dyDescent="0.3">
      <c r="A337">
        <v>2021</v>
      </c>
      <c r="B337">
        <v>2</v>
      </c>
      <c r="C337">
        <v>30194</v>
      </c>
      <c r="D337">
        <v>32467</v>
      </c>
      <c r="E337" t="s">
        <v>21</v>
      </c>
      <c r="F337" t="s">
        <v>22</v>
      </c>
      <c r="G337">
        <v>11259</v>
      </c>
      <c r="H337">
        <v>11697</v>
      </c>
      <c r="I337" t="s">
        <v>23</v>
      </c>
      <c r="J337" t="s">
        <v>24</v>
      </c>
      <c r="K337">
        <v>1121</v>
      </c>
      <c r="L337">
        <v>389</v>
      </c>
      <c r="M337">
        <v>148.5</v>
      </c>
      <c r="N337" t="s">
        <v>25</v>
      </c>
      <c r="O337">
        <v>0.98160000000000003</v>
      </c>
      <c r="P337">
        <v>147.6</v>
      </c>
      <c r="Q337" t="s">
        <v>25</v>
      </c>
      <c r="R337">
        <v>0.98160000000000003</v>
      </c>
      <c r="S337">
        <v>147.6</v>
      </c>
      <c r="T337" s="1" t="s">
        <v>33</v>
      </c>
      <c r="U337" s="1" t="s">
        <v>34</v>
      </c>
    </row>
    <row r="338" spans="1:21" ht="12" customHeight="1" x14ac:dyDescent="0.3">
      <c r="A338">
        <v>2021</v>
      </c>
      <c r="B338">
        <v>2</v>
      </c>
      <c r="C338">
        <v>30194</v>
      </c>
      <c r="D338">
        <v>32467</v>
      </c>
      <c r="E338" t="s">
        <v>21</v>
      </c>
      <c r="F338" t="s">
        <v>22</v>
      </c>
      <c r="G338">
        <v>11259</v>
      </c>
      <c r="H338">
        <v>13303</v>
      </c>
      <c r="I338" t="s">
        <v>23</v>
      </c>
      <c r="J338" t="s">
        <v>26</v>
      </c>
      <c r="K338">
        <v>1121</v>
      </c>
      <c r="L338">
        <v>5</v>
      </c>
      <c r="M338">
        <v>153.94999999999999</v>
      </c>
      <c r="N338" t="s">
        <v>31</v>
      </c>
      <c r="O338">
        <v>1</v>
      </c>
      <c r="P338">
        <v>153.94999999999999</v>
      </c>
      <c r="Q338" t="s">
        <v>31</v>
      </c>
      <c r="R338">
        <v>1</v>
      </c>
      <c r="S338">
        <v>153.94999999999999</v>
      </c>
      <c r="T338" s="1" t="s">
        <v>33</v>
      </c>
      <c r="U338" s="1" t="s">
        <v>34</v>
      </c>
    </row>
    <row r="339" spans="1:21" ht="12" customHeight="1" x14ac:dyDescent="0.3">
      <c r="A339">
        <v>2021</v>
      </c>
      <c r="B339">
        <v>2</v>
      </c>
      <c r="C339">
        <v>30194</v>
      </c>
      <c r="D339">
        <v>32467</v>
      </c>
      <c r="E339" t="s">
        <v>21</v>
      </c>
      <c r="F339" t="s">
        <v>22</v>
      </c>
      <c r="G339">
        <v>11298</v>
      </c>
      <c r="H339">
        <v>11697</v>
      </c>
      <c r="I339" t="s">
        <v>27</v>
      </c>
      <c r="J339" t="s">
        <v>24</v>
      </c>
      <c r="K339">
        <v>1121</v>
      </c>
      <c r="L339">
        <v>1000</v>
      </c>
      <c r="M339">
        <v>140.12</v>
      </c>
      <c r="N339" t="s">
        <v>28</v>
      </c>
      <c r="O339">
        <v>0.78869999999999996</v>
      </c>
      <c r="P339">
        <v>148.41</v>
      </c>
      <c r="Q339" t="s">
        <v>29</v>
      </c>
      <c r="R339">
        <v>0.17519999999999999</v>
      </c>
      <c r="S339">
        <v>88.07</v>
      </c>
      <c r="T339" s="1" t="s">
        <v>33</v>
      </c>
      <c r="U339" s="1" t="s">
        <v>34</v>
      </c>
    </row>
    <row r="340" spans="1:21" ht="12" customHeight="1" x14ac:dyDescent="0.3">
      <c r="A340">
        <v>2021</v>
      </c>
      <c r="B340">
        <v>2</v>
      </c>
      <c r="C340">
        <v>30194</v>
      </c>
      <c r="D340">
        <v>32467</v>
      </c>
      <c r="E340" t="s">
        <v>21</v>
      </c>
      <c r="F340" t="s">
        <v>22</v>
      </c>
      <c r="G340">
        <v>11298</v>
      </c>
      <c r="H340">
        <v>13303</v>
      </c>
      <c r="I340" t="s">
        <v>27</v>
      </c>
      <c r="J340" t="s">
        <v>26</v>
      </c>
      <c r="K340">
        <v>1121</v>
      </c>
      <c r="L340">
        <v>1094</v>
      </c>
      <c r="M340">
        <v>179.35</v>
      </c>
      <c r="N340" t="s">
        <v>28</v>
      </c>
      <c r="O340">
        <v>0.97509999999999997</v>
      </c>
      <c r="P340">
        <v>178.91</v>
      </c>
      <c r="Q340" t="s">
        <v>28</v>
      </c>
      <c r="R340">
        <v>0.97509999999999997</v>
      </c>
      <c r="S340">
        <v>178.91</v>
      </c>
      <c r="T340" s="1" t="s">
        <v>33</v>
      </c>
      <c r="U340" s="1" t="s">
        <v>34</v>
      </c>
    </row>
    <row r="341" spans="1:21" ht="12" customHeight="1" x14ac:dyDescent="0.3">
      <c r="A341">
        <v>2021</v>
      </c>
      <c r="B341">
        <v>3</v>
      </c>
      <c r="C341">
        <v>30194</v>
      </c>
      <c r="D341">
        <v>32467</v>
      </c>
      <c r="E341" t="s">
        <v>21</v>
      </c>
      <c r="F341" t="s">
        <v>22</v>
      </c>
      <c r="G341">
        <v>11259</v>
      </c>
      <c r="H341">
        <v>11697</v>
      </c>
      <c r="I341" t="s">
        <v>23</v>
      </c>
      <c r="J341" t="s">
        <v>24</v>
      </c>
      <c r="K341">
        <v>1121</v>
      </c>
      <c r="L341">
        <v>316</v>
      </c>
      <c r="M341">
        <v>154.65</v>
      </c>
      <c r="N341" t="s">
        <v>25</v>
      </c>
      <c r="O341">
        <v>0.96560000000000001</v>
      </c>
      <c r="P341">
        <v>153.28</v>
      </c>
      <c r="Q341" t="s">
        <v>25</v>
      </c>
      <c r="R341">
        <v>0.96560000000000001</v>
      </c>
      <c r="S341">
        <v>153.28</v>
      </c>
      <c r="T341" s="1" t="s">
        <v>33</v>
      </c>
      <c r="U341" s="1" t="s">
        <v>34</v>
      </c>
    </row>
    <row r="342" spans="1:21" ht="12" customHeight="1" x14ac:dyDescent="0.3">
      <c r="A342">
        <v>2021</v>
      </c>
      <c r="B342">
        <v>3</v>
      </c>
      <c r="C342">
        <v>30194</v>
      </c>
      <c r="D342">
        <v>32467</v>
      </c>
      <c r="E342" t="s">
        <v>21</v>
      </c>
      <c r="F342" t="s">
        <v>22</v>
      </c>
      <c r="G342">
        <v>11259</v>
      </c>
      <c r="H342">
        <v>13303</v>
      </c>
      <c r="I342" t="s">
        <v>23</v>
      </c>
      <c r="J342" t="s">
        <v>26</v>
      </c>
      <c r="K342">
        <v>1121</v>
      </c>
      <c r="L342">
        <v>5</v>
      </c>
      <c r="M342">
        <v>197.27</v>
      </c>
      <c r="N342" t="s">
        <v>31</v>
      </c>
      <c r="O342">
        <v>0.97960000000000003</v>
      </c>
      <c r="P342">
        <v>196.24</v>
      </c>
      <c r="Q342" t="s">
        <v>31</v>
      </c>
      <c r="R342">
        <v>0.97960000000000003</v>
      </c>
      <c r="S342">
        <v>196.24</v>
      </c>
      <c r="T342" s="1" t="s">
        <v>33</v>
      </c>
      <c r="U342" s="1" t="s">
        <v>34</v>
      </c>
    </row>
    <row r="343" spans="1:21" ht="12" customHeight="1" x14ac:dyDescent="0.3">
      <c r="A343">
        <v>2021</v>
      </c>
      <c r="B343">
        <v>3</v>
      </c>
      <c r="C343">
        <v>30194</v>
      </c>
      <c r="D343">
        <v>32467</v>
      </c>
      <c r="E343" t="s">
        <v>21</v>
      </c>
      <c r="F343" t="s">
        <v>22</v>
      </c>
      <c r="G343">
        <v>11298</v>
      </c>
      <c r="H343">
        <v>11697</v>
      </c>
      <c r="I343" t="s">
        <v>27</v>
      </c>
      <c r="J343" t="s">
        <v>24</v>
      </c>
      <c r="K343">
        <v>1121</v>
      </c>
      <c r="L343">
        <v>1047</v>
      </c>
      <c r="M343">
        <v>142.59</v>
      </c>
      <c r="N343" t="s">
        <v>28</v>
      </c>
      <c r="O343">
        <v>0.76549999999999996</v>
      </c>
      <c r="P343">
        <v>153.88</v>
      </c>
      <c r="Q343" t="s">
        <v>29</v>
      </c>
      <c r="R343">
        <v>0.18809999999999999</v>
      </c>
      <c r="S343">
        <v>89.92</v>
      </c>
      <c r="T343" s="1" t="s">
        <v>33</v>
      </c>
      <c r="U343" s="1" t="s">
        <v>34</v>
      </c>
    </row>
    <row r="344" spans="1:21" ht="12" customHeight="1" x14ac:dyDescent="0.3">
      <c r="A344">
        <v>2021</v>
      </c>
      <c r="B344">
        <v>3</v>
      </c>
      <c r="C344">
        <v>30194</v>
      </c>
      <c r="D344">
        <v>32467</v>
      </c>
      <c r="E344" t="s">
        <v>21</v>
      </c>
      <c r="F344" t="s">
        <v>22</v>
      </c>
      <c r="G344">
        <v>11298</v>
      </c>
      <c r="H344">
        <v>13303</v>
      </c>
      <c r="I344" t="s">
        <v>27</v>
      </c>
      <c r="J344" t="s">
        <v>26</v>
      </c>
      <c r="K344">
        <v>1121</v>
      </c>
      <c r="L344">
        <v>900</v>
      </c>
      <c r="M344">
        <v>197.92</v>
      </c>
      <c r="N344" t="s">
        <v>28</v>
      </c>
      <c r="O344">
        <v>0.95860000000000001</v>
      </c>
      <c r="P344">
        <v>198.77</v>
      </c>
      <c r="Q344" t="s">
        <v>37</v>
      </c>
      <c r="R344">
        <v>1.5100000000000001E-2</v>
      </c>
      <c r="S344">
        <v>121.01</v>
      </c>
      <c r="T344" s="1" t="s">
        <v>33</v>
      </c>
      <c r="U344" s="1" t="s">
        <v>34</v>
      </c>
    </row>
    <row r="345" spans="1:21" ht="12" customHeight="1" x14ac:dyDescent="0.3">
      <c r="A345">
        <v>2021</v>
      </c>
      <c r="B345">
        <v>4</v>
      </c>
      <c r="C345">
        <v>30194</v>
      </c>
      <c r="D345">
        <v>32467</v>
      </c>
      <c r="E345" t="s">
        <v>21</v>
      </c>
      <c r="F345" t="s">
        <v>22</v>
      </c>
      <c r="G345">
        <v>11259</v>
      </c>
      <c r="H345">
        <v>11697</v>
      </c>
      <c r="I345" t="s">
        <v>23</v>
      </c>
      <c r="J345" t="s">
        <v>24</v>
      </c>
      <c r="K345">
        <v>1121</v>
      </c>
      <c r="L345">
        <v>291</v>
      </c>
      <c r="M345">
        <v>187.32</v>
      </c>
      <c r="N345" t="s">
        <v>25</v>
      </c>
      <c r="O345">
        <v>0.97009999999999996</v>
      </c>
      <c r="P345">
        <v>186.08</v>
      </c>
      <c r="Q345" t="s">
        <v>25</v>
      </c>
      <c r="R345">
        <v>0.97009999999999996</v>
      </c>
      <c r="S345">
        <v>186.08</v>
      </c>
      <c r="T345" s="1" t="s">
        <v>33</v>
      </c>
      <c r="U345" s="1" t="s">
        <v>34</v>
      </c>
    </row>
    <row r="346" spans="1:21" ht="12" customHeight="1" x14ac:dyDescent="0.3">
      <c r="A346">
        <v>2021</v>
      </c>
      <c r="B346">
        <v>4</v>
      </c>
      <c r="C346">
        <v>30194</v>
      </c>
      <c r="D346">
        <v>32467</v>
      </c>
      <c r="E346" t="s">
        <v>21</v>
      </c>
      <c r="F346" t="s">
        <v>22</v>
      </c>
      <c r="G346">
        <v>11259</v>
      </c>
      <c r="H346">
        <v>13303</v>
      </c>
      <c r="I346" t="s">
        <v>23</v>
      </c>
      <c r="J346" t="s">
        <v>26</v>
      </c>
      <c r="K346">
        <v>1121</v>
      </c>
      <c r="L346">
        <v>4</v>
      </c>
      <c r="M346">
        <v>219.84</v>
      </c>
      <c r="N346" t="s">
        <v>31</v>
      </c>
      <c r="O346">
        <v>1</v>
      </c>
      <c r="P346">
        <v>219.84</v>
      </c>
      <c r="Q346" t="s">
        <v>31</v>
      </c>
      <c r="R346">
        <v>1</v>
      </c>
      <c r="S346">
        <v>219.84</v>
      </c>
      <c r="T346" s="1" t="s">
        <v>33</v>
      </c>
      <c r="U346" s="1" t="s">
        <v>34</v>
      </c>
    </row>
    <row r="347" spans="1:21" ht="12" customHeight="1" x14ac:dyDescent="0.3">
      <c r="A347">
        <v>2021</v>
      </c>
      <c r="B347">
        <v>4</v>
      </c>
      <c r="C347">
        <v>30194</v>
      </c>
      <c r="D347">
        <v>32467</v>
      </c>
      <c r="E347" t="s">
        <v>21</v>
      </c>
      <c r="F347" t="s">
        <v>22</v>
      </c>
      <c r="G347">
        <v>11298</v>
      </c>
      <c r="H347">
        <v>11697</v>
      </c>
      <c r="I347" t="s">
        <v>27</v>
      </c>
      <c r="J347" t="s">
        <v>24</v>
      </c>
      <c r="K347">
        <v>1121</v>
      </c>
      <c r="L347">
        <v>808</v>
      </c>
      <c r="M347">
        <v>183.27</v>
      </c>
      <c r="N347" t="s">
        <v>28</v>
      </c>
      <c r="O347">
        <v>0.70420000000000005</v>
      </c>
      <c r="P347">
        <v>203.6</v>
      </c>
      <c r="Q347" t="s">
        <v>29</v>
      </c>
      <c r="R347">
        <v>0.24709999999999999</v>
      </c>
      <c r="S347">
        <v>113.97</v>
      </c>
      <c r="T347" s="1" t="s">
        <v>33</v>
      </c>
      <c r="U347" s="1" t="s">
        <v>34</v>
      </c>
    </row>
    <row r="348" spans="1:21" ht="12" customHeight="1" x14ac:dyDescent="0.3">
      <c r="A348">
        <v>2021</v>
      </c>
      <c r="B348">
        <v>4</v>
      </c>
      <c r="C348">
        <v>30194</v>
      </c>
      <c r="D348">
        <v>32467</v>
      </c>
      <c r="E348" t="s">
        <v>21</v>
      </c>
      <c r="F348" t="s">
        <v>22</v>
      </c>
      <c r="G348">
        <v>11298</v>
      </c>
      <c r="H348">
        <v>13303</v>
      </c>
      <c r="I348" t="s">
        <v>27</v>
      </c>
      <c r="J348" t="s">
        <v>26</v>
      </c>
      <c r="K348">
        <v>1121</v>
      </c>
      <c r="L348">
        <v>867</v>
      </c>
      <c r="M348">
        <v>219.67</v>
      </c>
      <c r="N348" t="s">
        <v>28</v>
      </c>
      <c r="O348">
        <v>0.96240000000000003</v>
      </c>
      <c r="P348">
        <v>219.59</v>
      </c>
      <c r="Q348" t="s">
        <v>37</v>
      </c>
      <c r="R348">
        <v>1.17E-2</v>
      </c>
      <c r="S348">
        <v>173.53</v>
      </c>
      <c r="T348" s="1" t="s">
        <v>33</v>
      </c>
      <c r="U348" s="1" t="s">
        <v>34</v>
      </c>
    </row>
    <row r="349" spans="1:21" ht="12" customHeight="1" x14ac:dyDescent="0.3">
      <c r="A349">
        <v>2021</v>
      </c>
      <c r="B349">
        <v>3</v>
      </c>
      <c r="C349">
        <v>30194</v>
      </c>
      <c r="D349">
        <v>32467</v>
      </c>
      <c r="E349" t="s">
        <v>21</v>
      </c>
      <c r="F349" t="s">
        <v>22</v>
      </c>
      <c r="G349">
        <v>11259</v>
      </c>
      <c r="H349">
        <v>11697</v>
      </c>
      <c r="I349" t="s">
        <v>23</v>
      </c>
      <c r="J349" t="s">
        <v>24</v>
      </c>
      <c r="K349">
        <v>1121</v>
      </c>
      <c r="L349">
        <v>319</v>
      </c>
      <c r="M349">
        <v>181.43</v>
      </c>
      <c r="N349" t="s">
        <v>25</v>
      </c>
      <c r="O349">
        <v>0.97609999999999997</v>
      </c>
      <c r="P349">
        <v>180.62</v>
      </c>
      <c r="Q349" t="s">
        <v>25</v>
      </c>
      <c r="R349">
        <v>0.97609999999999997</v>
      </c>
      <c r="S349">
        <v>180.62</v>
      </c>
    </row>
    <row r="350" spans="1:21" ht="12" customHeight="1" x14ac:dyDescent="0.3">
      <c r="A350">
        <v>2021</v>
      </c>
      <c r="B350">
        <v>3</v>
      </c>
      <c r="C350">
        <v>30194</v>
      </c>
      <c r="D350">
        <v>32467</v>
      </c>
      <c r="E350" t="s">
        <v>21</v>
      </c>
      <c r="F350" t="s">
        <v>22</v>
      </c>
      <c r="G350">
        <v>11259</v>
      </c>
      <c r="H350">
        <v>13303</v>
      </c>
      <c r="I350" t="s">
        <v>23</v>
      </c>
      <c r="J350" t="s">
        <v>26</v>
      </c>
      <c r="K350">
        <v>1121</v>
      </c>
      <c r="L350">
        <v>5</v>
      </c>
      <c r="M350">
        <v>261.83</v>
      </c>
      <c r="N350" t="s">
        <v>31</v>
      </c>
      <c r="O350">
        <v>1</v>
      </c>
      <c r="P350">
        <v>261.83</v>
      </c>
      <c r="Q350" t="s">
        <v>31</v>
      </c>
      <c r="R350">
        <v>1</v>
      </c>
      <c r="S350">
        <v>261.83</v>
      </c>
    </row>
    <row r="351" spans="1:21" ht="12" customHeight="1" x14ac:dyDescent="0.3">
      <c r="A351">
        <v>2021</v>
      </c>
      <c r="B351">
        <v>3</v>
      </c>
      <c r="C351">
        <v>30194</v>
      </c>
      <c r="D351">
        <v>32467</v>
      </c>
      <c r="E351" t="s">
        <v>21</v>
      </c>
      <c r="F351" t="s">
        <v>22</v>
      </c>
      <c r="G351">
        <v>11298</v>
      </c>
      <c r="H351">
        <v>11697</v>
      </c>
      <c r="I351" t="s">
        <v>27</v>
      </c>
      <c r="J351" t="s">
        <v>24</v>
      </c>
      <c r="K351">
        <v>1121</v>
      </c>
      <c r="L351">
        <v>932</v>
      </c>
      <c r="M351">
        <v>185.67</v>
      </c>
      <c r="N351" t="s">
        <v>28</v>
      </c>
      <c r="O351">
        <v>0.65349999999999997</v>
      </c>
      <c r="P351">
        <v>223.28</v>
      </c>
      <c r="Q351" t="s">
        <v>29</v>
      </c>
      <c r="R351">
        <v>0.31219999999999998</v>
      </c>
      <c r="S351">
        <v>101.9</v>
      </c>
    </row>
    <row r="352" spans="1:21" ht="12" customHeight="1" x14ac:dyDescent="0.3">
      <c r="A352">
        <v>2021</v>
      </c>
      <c r="B352">
        <v>3</v>
      </c>
      <c r="C352">
        <v>30194</v>
      </c>
      <c r="D352">
        <v>32467</v>
      </c>
      <c r="E352" t="s">
        <v>21</v>
      </c>
      <c r="F352" t="s">
        <v>22</v>
      </c>
      <c r="G352">
        <v>11298</v>
      </c>
      <c r="H352">
        <v>13303</v>
      </c>
      <c r="I352" t="s">
        <v>27</v>
      </c>
      <c r="J352" t="s">
        <v>26</v>
      </c>
      <c r="K352">
        <v>1121</v>
      </c>
      <c r="L352">
        <v>984</v>
      </c>
      <c r="M352">
        <v>232.59</v>
      </c>
      <c r="N352" t="s">
        <v>28</v>
      </c>
      <c r="O352">
        <v>0.95789999999999997</v>
      </c>
      <c r="P352">
        <v>233.71</v>
      </c>
      <c r="Q352" t="s">
        <v>37</v>
      </c>
      <c r="R352">
        <v>1.7100000000000001E-2</v>
      </c>
      <c r="S352">
        <v>149.1</v>
      </c>
    </row>
    <row r="353" spans="1:21" ht="12" customHeight="1" x14ac:dyDescent="0.3">
      <c r="A353">
        <v>2021</v>
      </c>
      <c r="B353">
        <v>1</v>
      </c>
      <c r="C353">
        <v>30194</v>
      </c>
      <c r="D353">
        <v>32467</v>
      </c>
      <c r="E353" t="s">
        <v>21</v>
      </c>
      <c r="F353" t="s">
        <v>22</v>
      </c>
      <c r="G353">
        <v>11259</v>
      </c>
      <c r="H353">
        <v>11697</v>
      </c>
      <c r="I353" t="s">
        <v>23</v>
      </c>
      <c r="J353" t="s">
        <v>24</v>
      </c>
      <c r="K353">
        <v>1121</v>
      </c>
      <c r="L353">
        <v>291</v>
      </c>
      <c r="M353">
        <v>192.95</v>
      </c>
      <c r="N353" t="s">
        <v>25</v>
      </c>
      <c r="O353">
        <v>0.96599999999999997</v>
      </c>
      <c r="P353">
        <v>191.92</v>
      </c>
      <c r="Q353" t="s">
        <v>25</v>
      </c>
      <c r="R353">
        <v>0.96599999999999997</v>
      </c>
      <c r="S353">
        <v>191.92</v>
      </c>
      <c r="T353" s="1" t="s">
        <v>33</v>
      </c>
      <c r="U353" s="1" t="s">
        <v>34</v>
      </c>
    </row>
    <row r="354" spans="1:21" ht="12" customHeight="1" x14ac:dyDescent="0.3">
      <c r="A354">
        <v>2021</v>
      </c>
      <c r="B354">
        <v>1</v>
      </c>
      <c r="C354">
        <v>30194</v>
      </c>
      <c r="D354">
        <v>32467</v>
      </c>
      <c r="E354" t="s">
        <v>21</v>
      </c>
      <c r="F354" t="s">
        <v>22</v>
      </c>
      <c r="G354">
        <v>11259</v>
      </c>
      <c r="H354">
        <v>13303</v>
      </c>
      <c r="I354" t="s">
        <v>23</v>
      </c>
      <c r="J354" t="s">
        <v>26</v>
      </c>
      <c r="K354">
        <v>1121</v>
      </c>
      <c r="L354">
        <v>7</v>
      </c>
      <c r="M354">
        <v>242.96</v>
      </c>
      <c r="N354" t="s">
        <v>31</v>
      </c>
      <c r="O354">
        <v>1</v>
      </c>
      <c r="P354">
        <v>242.96</v>
      </c>
      <c r="Q354" t="s">
        <v>31</v>
      </c>
      <c r="R354">
        <v>1</v>
      </c>
      <c r="S354">
        <v>242.96</v>
      </c>
      <c r="T354" s="1" t="s">
        <v>33</v>
      </c>
      <c r="U354" s="1" t="s">
        <v>34</v>
      </c>
    </row>
    <row r="355" spans="1:21" ht="12" customHeight="1" x14ac:dyDescent="0.3">
      <c r="A355">
        <v>2021</v>
      </c>
      <c r="B355">
        <v>1</v>
      </c>
      <c r="C355">
        <v>30194</v>
      </c>
      <c r="D355">
        <v>32467</v>
      </c>
      <c r="E355" t="s">
        <v>21</v>
      </c>
      <c r="F355" t="s">
        <v>22</v>
      </c>
      <c r="G355">
        <v>11298</v>
      </c>
      <c r="H355">
        <v>11697</v>
      </c>
      <c r="I355" t="s">
        <v>27</v>
      </c>
      <c r="J355" t="s">
        <v>24</v>
      </c>
      <c r="K355">
        <v>1121</v>
      </c>
      <c r="L355">
        <v>876</v>
      </c>
      <c r="M355">
        <v>197.57</v>
      </c>
      <c r="N355" t="s">
        <v>28</v>
      </c>
      <c r="O355">
        <v>0.70609999999999995</v>
      </c>
      <c r="P355">
        <v>225.05</v>
      </c>
      <c r="Q355" t="s">
        <v>29</v>
      </c>
      <c r="R355">
        <v>0.25319999999999998</v>
      </c>
      <c r="S355">
        <v>112.24</v>
      </c>
      <c r="T355" s="1" t="s">
        <v>33</v>
      </c>
      <c r="U355" s="1" t="s">
        <v>34</v>
      </c>
    </row>
    <row r="356" spans="1:21" ht="12" customHeight="1" x14ac:dyDescent="0.3">
      <c r="A356">
        <v>2021</v>
      </c>
      <c r="B356">
        <v>1</v>
      </c>
      <c r="C356">
        <v>30194</v>
      </c>
      <c r="D356">
        <v>32467</v>
      </c>
      <c r="E356" t="s">
        <v>21</v>
      </c>
      <c r="F356" t="s">
        <v>22</v>
      </c>
      <c r="G356">
        <v>11298</v>
      </c>
      <c r="H356">
        <v>13303</v>
      </c>
      <c r="I356" t="s">
        <v>27</v>
      </c>
      <c r="J356" t="s">
        <v>26</v>
      </c>
      <c r="K356">
        <v>1121</v>
      </c>
      <c r="L356">
        <v>844</v>
      </c>
      <c r="M356">
        <v>257.69</v>
      </c>
      <c r="N356" t="s">
        <v>28</v>
      </c>
      <c r="O356">
        <v>0.96209999999999996</v>
      </c>
      <c r="P356">
        <v>257.97000000000003</v>
      </c>
      <c r="Q356" t="s">
        <v>31</v>
      </c>
      <c r="R356">
        <v>1.4200000000000001E-2</v>
      </c>
      <c r="S356">
        <v>235.25</v>
      </c>
      <c r="T356" s="1" t="s">
        <v>33</v>
      </c>
      <c r="U356" s="1" t="s">
        <v>34</v>
      </c>
    </row>
    <row r="357" spans="1:21" ht="12" customHeight="1" x14ac:dyDescent="0.3">
      <c r="A357">
        <v>2021</v>
      </c>
      <c r="B357">
        <v>2</v>
      </c>
      <c r="C357">
        <v>30194</v>
      </c>
      <c r="D357">
        <v>32467</v>
      </c>
      <c r="E357" t="s">
        <v>21</v>
      </c>
      <c r="F357" t="s">
        <v>22</v>
      </c>
      <c r="G357">
        <v>11259</v>
      </c>
      <c r="H357">
        <v>11697</v>
      </c>
      <c r="I357" t="s">
        <v>23</v>
      </c>
      <c r="J357" t="s">
        <v>24</v>
      </c>
      <c r="K357">
        <v>1121</v>
      </c>
      <c r="L357">
        <v>321</v>
      </c>
      <c r="M357">
        <v>201.14</v>
      </c>
      <c r="N357" t="s">
        <v>25</v>
      </c>
      <c r="O357">
        <v>0.96719999999999995</v>
      </c>
      <c r="P357">
        <v>199.44</v>
      </c>
      <c r="Q357" t="s">
        <v>25</v>
      </c>
      <c r="R357">
        <v>0.96719999999999995</v>
      </c>
      <c r="S357">
        <v>199.44</v>
      </c>
      <c r="T357" s="1" t="s">
        <v>33</v>
      </c>
      <c r="U357" s="1" t="s">
        <v>34</v>
      </c>
    </row>
    <row r="358" spans="1:21" ht="12" customHeight="1" x14ac:dyDescent="0.3">
      <c r="A358">
        <v>2021</v>
      </c>
      <c r="B358">
        <v>2</v>
      </c>
      <c r="C358">
        <v>30194</v>
      </c>
      <c r="D358">
        <v>32467</v>
      </c>
      <c r="E358" t="s">
        <v>21</v>
      </c>
      <c r="F358" t="s">
        <v>22</v>
      </c>
      <c r="G358">
        <v>11259</v>
      </c>
      <c r="H358">
        <v>13303</v>
      </c>
      <c r="I358" t="s">
        <v>23</v>
      </c>
      <c r="J358" t="s">
        <v>26</v>
      </c>
      <c r="K358">
        <v>1121</v>
      </c>
      <c r="L358">
        <v>6</v>
      </c>
      <c r="M358">
        <v>203.31</v>
      </c>
      <c r="N358" t="s">
        <v>31</v>
      </c>
      <c r="O358">
        <v>0.98309999999999997</v>
      </c>
      <c r="P358">
        <v>203.31</v>
      </c>
      <c r="Q358" t="s">
        <v>31</v>
      </c>
      <c r="R358">
        <v>0.98309999999999997</v>
      </c>
      <c r="S358">
        <v>203.31</v>
      </c>
      <c r="T358" s="1" t="s">
        <v>33</v>
      </c>
      <c r="U358" s="1" t="s">
        <v>34</v>
      </c>
    </row>
    <row r="359" spans="1:21" ht="12" customHeight="1" x14ac:dyDescent="0.3">
      <c r="A359">
        <v>2021</v>
      </c>
      <c r="B359">
        <v>2</v>
      </c>
      <c r="C359">
        <v>30194</v>
      </c>
      <c r="D359">
        <v>32467</v>
      </c>
      <c r="E359" t="s">
        <v>21</v>
      </c>
      <c r="F359" t="s">
        <v>22</v>
      </c>
      <c r="G359">
        <v>11298</v>
      </c>
      <c r="H359">
        <v>11697</v>
      </c>
      <c r="I359" t="s">
        <v>27</v>
      </c>
      <c r="J359" t="s">
        <v>24</v>
      </c>
      <c r="K359">
        <v>1121</v>
      </c>
      <c r="L359">
        <v>971</v>
      </c>
      <c r="M359">
        <v>186.62</v>
      </c>
      <c r="N359" t="s">
        <v>28</v>
      </c>
      <c r="O359">
        <v>0.64859999999999995</v>
      </c>
      <c r="P359">
        <v>223.71</v>
      </c>
      <c r="Q359" t="s">
        <v>29</v>
      </c>
      <c r="R359">
        <v>0.30869999999999997</v>
      </c>
      <c r="S359">
        <v>102.47</v>
      </c>
      <c r="T359" s="1" t="s">
        <v>33</v>
      </c>
      <c r="U359" s="1" t="s">
        <v>34</v>
      </c>
    </row>
    <row r="360" spans="1:21" ht="12" customHeight="1" x14ac:dyDescent="0.3">
      <c r="A360">
        <v>2021</v>
      </c>
      <c r="B360">
        <v>2</v>
      </c>
      <c r="C360">
        <v>30194</v>
      </c>
      <c r="D360">
        <v>32467</v>
      </c>
      <c r="E360" t="s">
        <v>21</v>
      </c>
      <c r="F360" t="s">
        <v>22</v>
      </c>
      <c r="G360">
        <v>11298</v>
      </c>
      <c r="H360">
        <v>13303</v>
      </c>
      <c r="I360" t="s">
        <v>27</v>
      </c>
      <c r="J360" t="s">
        <v>26</v>
      </c>
      <c r="K360">
        <v>1121</v>
      </c>
      <c r="L360">
        <v>906</v>
      </c>
      <c r="M360">
        <v>236.23</v>
      </c>
      <c r="N360" t="s">
        <v>28</v>
      </c>
      <c r="O360">
        <v>0.96050000000000002</v>
      </c>
      <c r="P360">
        <v>237.35</v>
      </c>
      <c r="Q360" t="s">
        <v>37</v>
      </c>
      <c r="R360">
        <v>1.12E-2</v>
      </c>
      <c r="S360">
        <v>189.86</v>
      </c>
      <c r="T360" s="1" t="s">
        <v>33</v>
      </c>
      <c r="U360" s="1" t="s">
        <v>34</v>
      </c>
    </row>
    <row r="361" spans="1:21" ht="12" customHeight="1" x14ac:dyDescent="0.3">
      <c r="A361">
        <v>2021</v>
      </c>
      <c r="B361">
        <v>3</v>
      </c>
      <c r="C361">
        <v>30194</v>
      </c>
      <c r="D361">
        <v>32467</v>
      </c>
      <c r="E361" t="s">
        <v>21</v>
      </c>
      <c r="F361" t="s">
        <v>22</v>
      </c>
      <c r="G361">
        <v>11259</v>
      </c>
      <c r="H361">
        <v>11697</v>
      </c>
      <c r="I361" t="s">
        <v>23</v>
      </c>
      <c r="J361" t="s">
        <v>24</v>
      </c>
      <c r="K361">
        <v>1121</v>
      </c>
      <c r="L361">
        <v>290</v>
      </c>
      <c r="M361">
        <v>200.96</v>
      </c>
      <c r="N361" t="s">
        <v>25</v>
      </c>
      <c r="O361">
        <v>0.9768</v>
      </c>
      <c r="P361">
        <v>200.51</v>
      </c>
      <c r="Q361" t="s">
        <v>25</v>
      </c>
      <c r="R361">
        <v>0.9768</v>
      </c>
      <c r="S361">
        <v>200.51</v>
      </c>
      <c r="T361" s="1" t="s">
        <v>33</v>
      </c>
      <c r="U361" s="1" t="s">
        <v>34</v>
      </c>
    </row>
    <row r="362" spans="1:21" ht="12" customHeight="1" x14ac:dyDescent="0.3">
      <c r="A362">
        <v>2021</v>
      </c>
      <c r="B362">
        <v>3</v>
      </c>
      <c r="C362">
        <v>30194</v>
      </c>
      <c r="D362">
        <v>32467</v>
      </c>
      <c r="E362" t="s">
        <v>21</v>
      </c>
      <c r="F362" t="s">
        <v>22</v>
      </c>
      <c r="G362">
        <v>11259</v>
      </c>
      <c r="H362">
        <v>13303</v>
      </c>
      <c r="I362" t="s">
        <v>23</v>
      </c>
      <c r="J362" t="s">
        <v>26</v>
      </c>
      <c r="K362">
        <v>1121</v>
      </c>
      <c r="L362">
        <v>9</v>
      </c>
      <c r="M362">
        <v>170.61</v>
      </c>
      <c r="N362" t="s">
        <v>31</v>
      </c>
      <c r="O362">
        <v>0.98799999999999999</v>
      </c>
      <c r="P362">
        <v>170.82</v>
      </c>
      <c r="Q362" t="s">
        <v>31</v>
      </c>
      <c r="R362">
        <v>0.98799999999999999</v>
      </c>
      <c r="S362">
        <v>170.82</v>
      </c>
      <c r="T362" s="1" t="s">
        <v>33</v>
      </c>
      <c r="U362" s="1" t="s">
        <v>34</v>
      </c>
    </row>
    <row r="363" spans="1:21" ht="12" customHeight="1" x14ac:dyDescent="0.3">
      <c r="A363">
        <v>2021</v>
      </c>
      <c r="B363">
        <v>3</v>
      </c>
      <c r="C363">
        <v>30194</v>
      </c>
      <c r="D363">
        <v>32467</v>
      </c>
      <c r="E363" t="s">
        <v>21</v>
      </c>
      <c r="F363" t="s">
        <v>22</v>
      </c>
      <c r="G363">
        <v>11298</v>
      </c>
      <c r="H363">
        <v>11697</v>
      </c>
      <c r="I363" t="s">
        <v>27</v>
      </c>
      <c r="J363" t="s">
        <v>24</v>
      </c>
      <c r="K363">
        <v>1121</v>
      </c>
      <c r="L363">
        <v>833</v>
      </c>
      <c r="M363">
        <v>185.51</v>
      </c>
      <c r="N363" t="s">
        <v>28</v>
      </c>
      <c r="O363">
        <v>0.60499999999999998</v>
      </c>
      <c r="P363">
        <v>232.75</v>
      </c>
      <c r="Q363" t="s">
        <v>29</v>
      </c>
      <c r="R363">
        <v>0.35589999999999999</v>
      </c>
      <c r="S363">
        <v>98.75</v>
      </c>
      <c r="T363" s="1" t="s">
        <v>33</v>
      </c>
      <c r="U363" s="1" t="s">
        <v>34</v>
      </c>
    </row>
    <row r="364" spans="1:21" ht="12" customHeight="1" x14ac:dyDescent="0.3">
      <c r="A364">
        <v>2021</v>
      </c>
      <c r="B364">
        <v>3</v>
      </c>
      <c r="C364">
        <v>30194</v>
      </c>
      <c r="D364">
        <v>32467</v>
      </c>
      <c r="E364" t="s">
        <v>21</v>
      </c>
      <c r="F364" t="s">
        <v>22</v>
      </c>
      <c r="G364">
        <v>11298</v>
      </c>
      <c r="H364">
        <v>13303</v>
      </c>
      <c r="I364" t="s">
        <v>27</v>
      </c>
      <c r="J364" t="s">
        <v>26</v>
      </c>
      <c r="K364">
        <v>1121</v>
      </c>
      <c r="L364">
        <v>815</v>
      </c>
      <c r="M364">
        <v>253.48</v>
      </c>
      <c r="N364" t="s">
        <v>28</v>
      </c>
      <c r="O364">
        <v>0.94130000000000003</v>
      </c>
      <c r="P364">
        <v>256.64</v>
      </c>
      <c r="Q364" t="s">
        <v>31</v>
      </c>
      <c r="R364">
        <v>3.7400000000000003E-2</v>
      </c>
      <c r="S364">
        <v>180.54</v>
      </c>
      <c r="T364" s="1" t="s">
        <v>33</v>
      </c>
      <c r="U364" s="1" t="s">
        <v>34</v>
      </c>
    </row>
    <row r="365" spans="1:21" ht="12" customHeight="1" x14ac:dyDescent="0.3">
      <c r="A365">
        <v>2021</v>
      </c>
      <c r="B365">
        <v>4</v>
      </c>
      <c r="C365">
        <v>30194</v>
      </c>
      <c r="D365">
        <v>32467</v>
      </c>
      <c r="E365" t="s">
        <v>21</v>
      </c>
      <c r="F365" t="s">
        <v>22</v>
      </c>
      <c r="G365">
        <v>11259</v>
      </c>
      <c r="H365">
        <v>11697</v>
      </c>
      <c r="I365" t="s">
        <v>23</v>
      </c>
      <c r="J365" t="s">
        <v>24</v>
      </c>
      <c r="K365">
        <v>1121</v>
      </c>
      <c r="L365">
        <v>341</v>
      </c>
      <c r="M365">
        <v>180.73</v>
      </c>
      <c r="N365" t="s">
        <v>25</v>
      </c>
      <c r="O365">
        <v>0.97219999999999995</v>
      </c>
      <c r="P365">
        <v>179.83</v>
      </c>
      <c r="Q365" t="s">
        <v>25</v>
      </c>
      <c r="R365">
        <v>0.97219999999999995</v>
      </c>
      <c r="S365">
        <v>179.83</v>
      </c>
      <c r="T365" s="1" t="s">
        <v>33</v>
      </c>
      <c r="U365" s="1" t="s">
        <v>34</v>
      </c>
    </row>
    <row r="366" spans="1:21" ht="12" customHeight="1" x14ac:dyDescent="0.3">
      <c r="A366">
        <v>2021</v>
      </c>
      <c r="B366">
        <v>4</v>
      </c>
      <c r="C366">
        <v>30194</v>
      </c>
      <c r="D366">
        <v>32467</v>
      </c>
      <c r="E366" t="s">
        <v>21</v>
      </c>
      <c r="F366" t="s">
        <v>22</v>
      </c>
      <c r="G366">
        <v>11259</v>
      </c>
      <c r="H366">
        <v>13303</v>
      </c>
      <c r="I366" t="s">
        <v>23</v>
      </c>
      <c r="J366" t="s">
        <v>26</v>
      </c>
      <c r="K366">
        <v>1121</v>
      </c>
      <c r="L366">
        <v>6</v>
      </c>
      <c r="M366">
        <v>246.51</v>
      </c>
      <c r="N366" t="s">
        <v>31</v>
      </c>
      <c r="O366">
        <v>1</v>
      </c>
      <c r="P366">
        <v>246.51</v>
      </c>
      <c r="Q366" t="s">
        <v>31</v>
      </c>
      <c r="R366">
        <v>1</v>
      </c>
      <c r="S366">
        <v>246.51</v>
      </c>
      <c r="T366" s="1" t="s">
        <v>33</v>
      </c>
      <c r="U366" s="1" t="s">
        <v>34</v>
      </c>
    </row>
    <row r="367" spans="1:21" ht="12" customHeight="1" x14ac:dyDescent="0.3">
      <c r="A367">
        <v>2021</v>
      </c>
      <c r="B367">
        <v>4</v>
      </c>
      <c r="C367">
        <v>30194</v>
      </c>
      <c r="D367">
        <v>32467</v>
      </c>
      <c r="E367" t="s">
        <v>21</v>
      </c>
      <c r="F367" t="s">
        <v>22</v>
      </c>
      <c r="G367">
        <v>11298</v>
      </c>
      <c r="H367">
        <v>11697</v>
      </c>
      <c r="I367" t="s">
        <v>27</v>
      </c>
      <c r="J367" t="s">
        <v>24</v>
      </c>
      <c r="K367">
        <v>1121</v>
      </c>
      <c r="L367">
        <v>898</v>
      </c>
      <c r="M367">
        <v>189</v>
      </c>
      <c r="N367" t="s">
        <v>28</v>
      </c>
      <c r="O367">
        <v>0.63900000000000001</v>
      </c>
      <c r="P367">
        <v>235.13</v>
      </c>
      <c r="Q367" t="s">
        <v>29</v>
      </c>
      <c r="R367">
        <v>0.3</v>
      </c>
      <c r="S367">
        <v>84.14</v>
      </c>
      <c r="T367" s="1" t="s">
        <v>33</v>
      </c>
      <c r="U367" s="1" t="s">
        <v>34</v>
      </c>
    </row>
    <row r="368" spans="1:21" ht="12" customHeight="1" x14ac:dyDescent="0.3">
      <c r="A368">
        <v>2021</v>
      </c>
      <c r="B368">
        <v>4</v>
      </c>
      <c r="C368">
        <v>30194</v>
      </c>
      <c r="D368">
        <v>32467</v>
      </c>
      <c r="E368" t="s">
        <v>21</v>
      </c>
      <c r="F368" t="s">
        <v>22</v>
      </c>
      <c r="G368">
        <v>11298</v>
      </c>
      <c r="H368">
        <v>13303</v>
      </c>
      <c r="I368" t="s">
        <v>27</v>
      </c>
      <c r="J368" t="s">
        <v>26</v>
      </c>
      <c r="K368">
        <v>1121</v>
      </c>
      <c r="L368">
        <v>865</v>
      </c>
      <c r="M368">
        <v>248.71</v>
      </c>
      <c r="N368" t="s">
        <v>28</v>
      </c>
      <c r="O368">
        <v>0.94710000000000005</v>
      </c>
      <c r="P368">
        <v>252.31</v>
      </c>
      <c r="Q368" t="s">
        <v>37</v>
      </c>
      <c r="R368">
        <v>2.6800000000000001E-2</v>
      </c>
      <c r="S368">
        <v>134.44999999999999</v>
      </c>
      <c r="T368" s="1" t="s">
        <v>33</v>
      </c>
      <c r="U368" s="1" t="s">
        <v>34</v>
      </c>
    </row>
    <row r="369" spans="1:21" ht="12" customHeight="1" x14ac:dyDescent="0.3">
      <c r="A369">
        <v>2021</v>
      </c>
      <c r="B369">
        <v>1</v>
      </c>
      <c r="C369">
        <v>30194</v>
      </c>
      <c r="D369">
        <v>32467</v>
      </c>
      <c r="E369" t="s">
        <v>21</v>
      </c>
      <c r="F369" t="s">
        <v>22</v>
      </c>
      <c r="G369">
        <v>11259</v>
      </c>
      <c r="H369">
        <v>11697</v>
      </c>
      <c r="I369" t="s">
        <v>23</v>
      </c>
      <c r="J369" t="s">
        <v>24</v>
      </c>
      <c r="K369">
        <v>1121</v>
      </c>
      <c r="L369">
        <v>324</v>
      </c>
      <c r="M369">
        <v>195.42</v>
      </c>
      <c r="N369" t="s">
        <v>25</v>
      </c>
      <c r="O369">
        <v>0.95820000000000005</v>
      </c>
      <c r="P369">
        <v>193.81</v>
      </c>
      <c r="Q369" t="s">
        <v>25</v>
      </c>
      <c r="R369">
        <v>0.95820000000000005</v>
      </c>
      <c r="S369">
        <v>193.81</v>
      </c>
      <c r="T369" s="1" t="s">
        <v>33</v>
      </c>
      <c r="U369" s="1" t="s">
        <v>34</v>
      </c>
    </row>
    <row r="370" spans="1:21" ht="12" customHeight="1" x14ac:dyDescent="0.3">
      <c r="A370">
        <v>2021</v>
      </c>
      <c r="B370">
        <v>1</v>
      </c>
      <c r="C370">
        <v>30194</v>
      </c>
      <c r="D370">
        <v>32467</v>
      </c>
      <c r="E370" t="s">
        <v>21</v>
      </c>
      <c r="F370" t="s">
        <v>22</v>
      </c>
      <c r="G370">
        <v>11259</v>
      </c>
      <c r="H370">
        <v>13303</v>
      </c>
      <c r="I370" t="s">
        <v>23</v>
      </c>
      <c r="J370" t="s">
        <v>26</v>
      </c>
      <c r="K370">
        <v>1121</v>
      </c>
      <c r="L370">
        <v>3</v>
      </c>
      <c r="M370">
        <v>213.92</v>
      </c>
      <c r="N370" t="s">
        <v>31</v>
      </c>
      <c r="O370">
        <v>1</v>
      </c>
      <c r="P370">
        <v>213.92</v>
      </c>
      <c r="Q370" t="s">
        <v>31</v>
      </c>
      <c r="R370">
        <v>1</v>
      </c>
      <c r="S370">
        <v>213.92</v>
      </c>
      <c r="T370" s="1" t="s">
        <v>33</v>
      </c>
      <c r="U370" s="1" t="s">
        <v>34</v>
      </c>
    </row>
    <row r="371" spans="1:21" ht="12" customHeight="1" x14ac:dyDescent="0.3">
      <c r="A371">
        <v>2021</v>
      </c>
      <c r="B371">
        <v>1</v>
      </c>
      <c r="C371">
        <v>30194</v>
      </c>
      <c r="D371">
        <v>32467</v>
      </c>
      <c r="E371" t="s">
        <v>21</v>
      </c>
      <c r="F371" t="s">
        <v>22</v>
      </c>
      <c r="G371">
        <v>11298</v>
      </c>
      <c r="H371">
        <v>11697</v>
      </c>
      <c r="I371" t="s">
        <v>27</v>
      </c>
      <c r="J371" t="s">
        <v>24</v>
      </c>
      <c r="K371">
        <v>1121</v>
      </c>
      <c r="L371">
        <v>845</v>
      </c>
      <c r="M371">
        <v>211.07</v>
      </c>
      <c r="N371" t="s">
        <v>28</v>
      </c>
      <c r="O371">
        <v>0.75280000000000002</v>
      </c>
      <c r="P371">
        <v>236.44</v>
      </c>
      <c r="Q371" t="s">
        <v>29</v>
      </c>
      <c r="R371">
        <v>0.18129999999999999</v>
      </c>
      <c r="S371">
        <v>102.33</v>
      </c>
      <c r="T371" s="1" t="s">
        <v>33</v>
      </c>
      <c r="U371" s="1" t="s">
        <v>34</v>
      </c>
    </row>
    <row r="372" spans="1:21" ht="12" customHeight="1" x14ac:dyDescent="0.3">
      <c r="A372">
        <v>2021</v>
      </c>
      <c r="B372">
        <v>1</v>
      </c>
      <c r="C372">
        <v>30194</v>
      </c>
      <c r="D372">
        <v>32467</v>
      </c>
      <c r="E372" t="s">
        <v>21</v>
      </c>
      <c r="F372" t="s">
        <v>22</v>
      </c>
      <c r="G372">
        <v>11298</v>
      </c>
      <c r="H372">
        <v>13303</v>
      </c>
      <c r="I372" t="s">
        <v>27</v>
      </c>
      <c r="J372" t="s">
        <v>26</v>
      </c>
      <c r="K372">
        <v>1121</v>
      </c>
      <c r="L372">
        <v>765</v>
      </c>
      <c r="M372">
        <v>282.77</v>
      </c>
      <c r="N372" t="s">
        <v>28</v>
      </c>
      <c r="O372">
        <v>0.95399999999999996</v>
      </c>
      <c r="P372">
        <v>285.2</v>
      </c>
      <c r="Q372" t="s">
        <v>37</v>
      </c>
      <c r="R372">
        <v>2.0199999999999999E-2</v>
      </c>
      <c r="S372">
        <v>152.83000000000001</v>
      </c>
      <c r="T372" s="1" t="s">
        <v>33</v>
      </c>
      <c r="U372" s="1" t="s">
        <v>34</v>
      </c>
    </row>
    <row r="373" spans="1:21" ht="12" customHeight="1" x14ac:dyDescent="0.3">
      <c r="A373">
        <v>2021</v>
      </c>
      <c r="B373">
        <v>2</v>
      </c>
      <c r="C373">
        <v>30194</v>
      </c>
      <c r="D373">
        <v>32467</v>
      </c>
      <c r="E373" t="s">
        <v>21</v>
      </c>
      <c r="F373" t="s">
        <v>22</v>
      </c>
      <c r="G373">
        <v>11259</v>
      </c>
      <c r="H373">
        <v>11697</v>
      </c>
      <c r="I373" t="s">
        <v>23</v>
      </c>
      <c r="J373" t="s">
        <v>24</v>
      </c>
      <c r="K373">
        <v>1121</v>
      </c>
      <c r="L373">
        <v>327</v>
      </c>
      <c r="M373">
        <v>192.98</v>
      </c>
      <c r="N373" t="s">
        <v>25</v>
      </c>
      <c r="O373">
        <v>0.9516</v>
      </c>
      <c r="P373">
        <v>192.22</v>
      </c>
      <c r="Q373" t="s">
        <v>25</v>
      </c>
      <c r="R373">
        <v>0.9516</v>
      </c>
      <c r="S373">
        <v>192.22</v>
      </c>
      <c r="T373" s="1" t="s">
        <v>33</v>
      </c>
      <c r="U373" s="1" t="s">
        <v>34</v>
      </c>
    </row>
    <row r="374" spans="1:21" ht="12" customHeight="1" x14ac:dyDescent="0.3">
      <c r="A374">
        <v>2021</v>
      </c>
      <c r="B374">
        <v>2</v>
      </c>
      <c r="C374">
        <v>30194</v>
      </c>
      <c r="D374">
        <v>32467</v>
      </c>
      <c r="E374" t="s">
        <v>21</v>
      </c>
      <c r="F374" t="s">
        <v>22</v>
      </c>
      <c r="G374">
        <v>11259</v>
      </c>
      <c r="H374">
        <v>13303</v>
      </c>
      <c r="I374" t="s">
        <v>23</v>
      </c>
      <c r="J374" t="s">
        <v>26</v>
      </c>
      <c r="K374">
        <v>1121</v>
      </c>
      <c r="L374">
        <v>4</v>
      </c>
      <c r="M374">
        <v>267.99</v>
      </c>
      <c r="N374" t="s">
        <v>31</v>
      </c>
      <c r="O374">
        <v>0.97440000000000004</v>
      </c>
      <c r="P374">
        <v>263.74</v>
      </c>
      <c r="Q374" t="s">
        <v>31</v>
      </c>
      <c r="R374">
        <v>0.97440000000000004</v>
      </c>
      <c r="S374">
        <v>263.74</v>
      </c>
      <c r="T374" s="1" t="s">
        <v>33</v>
      </c>
      <c r="U374" s="1" t="s">
        <v>34</v>
      </c>
    </row>
    <row r="375" spans="1:21" ht="12" customHeight="1" x14ac:dyDescent="0.3">
      <c r="A375">
        <v>2021</v>
      </c>
      <c r="B375">
        <v>2</v>
      </c>
      <c r="C375">
        <v>30194</v>
      </c>
      <c r="D375">
        <v>32467</v>
      </c>
      <c r="E375" t="s">
        <v>21</v>
      </c>
      <c r="F375" t="s">
        <v>22</v>
      </c>
      <c r="G375">
        <v>11298</v>
      </c>
      <c r="H375">
        <v>11697</v>
      </c>
      <c r="I375" t="s">
        <v>27</v>
      </c>
      <c r="J375" t="s">
        <v>24</v>
      </c>
      <c r="K375">
        <v>1121</v>
      </c>
      <c r="L375">
        <v>981</v>
      </c>
      <c r="M375">
        <v>190.1</v>
      </c>
      <c r="N375" t="s">
        <v>28</v>
      </c>
      <c r="O375">
        <v>0.63749999999999996</v>
      </c>
      <c r="P375">
        <v>229.77</v>
      </c>
      <c r="Q375" t="s">
        <v>29</v>
      </c>
      <c r="R375">
        <v>0.2893</v>
      </c>
      <c r="S375">
        <v>100.83</v>
      </c>
      <c r="T375" s="1" t="s">
        <v>33</v>
      </c>
      <c r="U375" s="1" t="s">
        <v>34</v>
      </c>
    </row>
    <row r="376" spans="1:21" ht="12" customHeight="1" x14ac:dyDescent="0.3">
      <c r="A376">
        <v>2021</v>
      </c>
      <c r="B376">
        <v>2</v>
      </c>
      <c r="C376">
        <v>30194</v>
      </c>
      <c r="D376">
        <v>32467</v>
      </c>
      <c r="E376" t="s">
        <v>21</v>
      </c>
      <c r="F376" t="s">
        <v>22</v>
      </c>
      <c r="G376">
        <v>11298</v>
      </c>
      <c r="H376">
        <v>13303</v>
      </c>
      <c r="I376" t="s">
        <v>27</v>
      </c>
      <c r="J376" t="s">
        <v>26</v>
      </c>
      <c r="K376">
        <v>1121</v>
      </c>
      <c r="L376">
        <v>900</v>
      </c>
      <c r="M376">
        <v>261.31</v>
      </c>
      <c r="N376" t="s">
        <v>28</v>
      </c>
      <c r="O376">
        <v>0.92400000000000004</v>
      </c>
      <c r="P376">
        <v>266.32</v>
      </c>
      <c r="Q376" t="s">
        <v>37</v>
      </c>
      <c r="R376">
        <v>4.7399999999999998E-2</v>
      </c>
      <c r="S376">
        <v>162.72999999999999</v>
      </c>
      <c r="T376" s="1" t="s">
        <v>33</v>
      </c>
      <c r="U376" s="1" t="s">
        <v>34</v>
      </c>
    </row>
    <row r="377" spans="1:21" ht="12" customHeight="1" x14ac:dyDescent="0.3">
      <c r="A377">
        <v>2021</v>
      </c>
      <c r="B377">
        <v>4</v>
      </c>
      <c r="C377">
        <v>30194</v>
      </c>
      <c r="D377">
        <v>32467</v>
      </c>
      <c r="E377" t="s">
        <v>21</v>
      </c>
      <c r="F377" t="s">
        <v>22</v>
      </c>
      <c r="G377">
        <v>11259</v>
      </c>
      <c r="H377">
        <v>11697</v>
      </c>
      <c r="I377" t="s">
        <v>23</v>
      </c>
      <c r="J377" t="s">
        <v>24</v>
      </c>
      <c r="K377">
        <v>1121</v>
      </c>
      <c r="L377">
        <v>342</v>
      </c>
      <c r="M377">
        <v>212.63</v>
      </c>
      <c r="N377" t="s">
        <v>25</v>
      </c>
      <c r="O377">
        <v>0.98</v>
      </c>
      <c r="P377">
        <v>210.95</v>
      </c>
      <c r="Q377" t="s">
        <v>25</v>
      </c>
      <c r="R377">
        <v>0.98</v>
      </c>
      <c r="S377">
        <v>210.95</v>
      </c>
    </row>
    <row r="378" spans="1:21" ht="12" customHeight="1" x14ac:dyDescent="0.3">
      <c r="A378">
        <v>2021</v>
      </c>
      <c r="B378">
        <v>4</v>
      </c>
      <c r="C378">
        <v>30194</v>
      </c>
      <c r="D378">
        <v>32467</v>
      </c>
      <c r="E378" t="s">
        <v>21</v>
      </c>
      <c r="F378" t="s">
        <v>22</v>
      </c>
      <c r="G378">
        <v>11259</v>
      </c>
      <c r="H378">
        <v>13303</v>
      </c>
      <c r="I378" t="s">
        <v>23</v>
      </c>
      <c r="J378" t="s">
        <v>26</v>
      </c>
      <c r="K378">
        <v>1121</v>
      </c>
      <c r="L378">
        <v>3</v>
      </c>
      <c r="M378">
        <v>311.3</v>
      </c>
      <c r="N378" t="s">
        <v>31</v>
      </c>
      <c r="O378">
        <v>1</v>
      </c>
      <c r="P378">
        <v>311.3</v>
      </c>
      <c r="Q378" t="s">
        <v>31</v>
      </c>
      <c r="R378">
        <v>1</v>
      </c>
      <c r="S378">
        <v>311.3</v>
      </c>
    </row>
    <row r="379" spans="1:21" ht="12" customHeight="1" x14ac:dyDescent="0.3">
      <c r="A379">
        <v>2021</v>
      </c>
      <c r="B379">
        <v>4</v>
      </c>
      <c r="C379">
        <v>30194</v>
      </c>
      <c r="D379">
        <v>32467</v>
      </c>
      <c r="E379" t="s">
        <v>21</v>
      </c>
      <c r="F379" t="s">
        <v>22</v>
      </c>
      <c r="G379">
        <v>11298</v>
      </c>
      <c r="H379">
        <v>11697</v>
      </c>
      <c r="I379" t="s">
        <v>27</v>
      </c>
      <c r="J379" t="s">
        <v>24</v>
      </c>
      <c r="K379">
        <v>1121</v>
      </c>
      <c r="L379">
        <v>774</v>
      </c>
      <c r="M379">
        <v>241.23</v>
      </c>
      <c r="N379" t="s">
        <v>28</v>
      </c>
      <c r="O379">
        <v>0.69369999999999998</v>
      </c>
      <c r="P379">
        <v>282.5</v>
      </c>
      <c r="Q379" t="s">
        <v>29</v>
      </c>
      <c r="R379">
        <v>0.27379999999999999</v>
      </c>
      <c r="S379">
        <v>125.64</v>
      </c>
    </row>
    <row r="380" spans="1:21" ht="12" customHeight="1" x14ac:dyDescent="0.3">
      <c r="A380">
        <v>2021</v>
      </c>
      <c r="B380">
        <v>4</v>
      </c>
      <c r="C380">
        <v>30194</v>
      </c>
      <c r="D380">
        <v>32467</v>
      </c>
      <c r="E380" t="s">
        <v>21</v>
      </c>
      <c r="F380" t="s">
        <v>22</v>
      </c>
      <c r="G380">
        <v>11298</v>
      </c>
      <c r="H380">
        <v>13303</v>
      </c>
      <c r="I380" t="s">
        <v>27</v>
      </c>
      <c r="J380" t="s">
        <v>26</v>
      </c>
      <c r="K380">
        <v>1121</v>
      </c>
      <c r="L380">
        <v>930</v>
      </c>
      <c r="M380">
        <v>279.93</v>
      </c>
      <c r="N380" t="s">
        <v>28</v>
      </c>
      <c r="O380">
        <v>0.96940000000000004</v>
      </c>
      <c r="P380">
        <v>279.64999999999998</v>
      </c>
      <c r="Q380" t="s">
        <v>28</v>
      </c>
      <c r="R380">
        <v>0.96940000000000004</v>
      </c>
      <c r="S380">
        <v>279.64999999999998</v>
      </c>
    </row>
    <row r="381" spans="1:21" ht="12" customHeight="1" x14ac:dyDescent="0.3">
      <c r="A381">
        <v>2021</v>
      </c>
      <c r="B381">
        <v>2</v>
      </c>
      <c r="C381">
        <v>30194</v>
      </c>
      <c r="D381">
        <v>32467</v>
      </c>
      <c r="E381" t="s">
        <v>21</v>
      </c>
      <c r="F381" t="s">
        <v>22</v>
      </c>
      <c r="G381">
        <v>11259</v>
      </c>
      <c r="H381">
        <v>11697</v>
      </c>
      <c r="I381" t="s">
        <v>23</v>
      </c>
      <c r="J381" t="s">
        <v>24</v>
      </c>
      <c r="K381">
        <v>1121</v>
      </c>
      <c r="L381">
        <v>358</v>
      </c>
      <c r="M381">
        <v>220.61</v>
      </c>
      <c r="N381" t="s">
        <v>25</v>
      </c>
      <c r="O381">
        <v>0.97330000000000005</v>
      </c>
      <c r="P381">
        <v>220.69</v>
      </c>
      <c r="Q381" t="s">
        <v>25</v>
      </c>
      <c r="R381">
        <v>0.97330000000000005</v>
      </c>
      <c r="S381">
        <v>220.69</v>
      </c>
    </row>
    <row r="382" spans="1:21" ht="12" customHeight="1" x14ac:dyDescent="0.3">
      <c r="A382">
        <v>2021</v>
      </c>
      <c r="B382">
        <v>2</v>
      </c>
      <c r="C382">
        <v>30194</v>
      </c>
      <c r="D382">
        <v>32467</v>
      </c>
      <c r="E382" t="s">
        <v>21</v>
      </c>
      <c r="F382" t="s">
        <v>22</v>
      </c>
      <c r="G382">
        <v>11298</v>
      </c>
      <c r="H382">
        <v>11697</v>
      </c>
      <c r="I382" t="s">
        <v>27</v>
      </c>
      <c r="J382" t="s">
        <v>24</v>
      </c>
      <c r="K382">
        <v>1121</v>
      </c>
      <c r="L382">
        <v>1003</v>
      </c>
      <c r="M382">
        <v>221.18</v>
      </c>
      <c r="N382" t="s">
        <v>28</v>
      </c>
      <c r="O382">
        <v>0.62690000000000001</v>
      </c>
      <c r="P382">
        <v>275.97000000000003</v>
      </c>
      <c r="Q382" t="s">
        <v>29</v>
      </c>
      <c r="R382">
        <v>0.32679999999999998</v>
      </c>
      <c r="S382">
        <v>110.55</v>
      </c>
    </row>
    <row r="383" spans="1:21" ht="12" customHeight="1" x14ac:dyDescent="0.3">
      <c r="A383">
        <v>2021</v>
      </c>
      <c r="B383">
        <v>2</v>
      </c>
      <c r="C383">
        <v>30194</v>
      </c>
      <c r="D383">
        <v>32467</v>
      </c>
      <c r="E383" t="s">
        <v>21</v>
      </c>
      <c r="F383" t="s">
        <v>22</v>
      </c>
      <c r="G383">
        <v>11298</v>
      </c>
      <c r="H383">
        <v>13303</v>
      </c>
      <c r="I383" t="s">
        <v>27</v>
      </c>
      <c r="J383" t="s">
        <v>26</v>
      </c>
      <c r="K383">
        <v>1121</v>
      </c>
      <c r="L383">
        <v>987</v>
      </c>
      <c r="M383">
        <v>291.14</v>
      </c>
      <c r="N383" t="s">
        <v>28</v>
      </c>
      <c r="O383">
        <v>0.9607</v>
      </c>
      <c r="P383">
        <v>291.18</v>
      </c>
      <c r="Q383" t="s">
        <v>31</v>
      </c>
      <c r="R383">
        <v>1.66E-2</v>
      </c>
      <c r="S383">
        <v>287.61</v>
      </c>
    </row>
    <row r="384" spans="1:21" ht="12" customHeight="1" x14ac:dyDescent="0.3">
      <c r="A384">
        <v>2021</v>
      </c>
      <c r="B384">
        <v>3</v>
      </c>
      <c r="C384">
        <v>30194</v>
      </c>
      <c r="D384">
        <v>32467</v>
      </c>
      <c r="E384" t="s">
        <v>21</v>
      </c>
      <c r="F384" t="s">
        <v>22</v>
      </c>
      <c r="G384">
        <v>11259</v>
      </c>
      <c r="H384">
        <v>11697</v>
      </c>
      <c r="I384" t="s">
        <v>23</v>
      </c>
      <c r="J384" t="s">
        <v>24</v>
      </c>
      <c r="K384">
        <v>1121</v>
      </c>
      <c r="L384">
        <v>319</v>
      </c>
      <c r="M384">
        <v>208.26</v>
      </c>
      <c r="N384" t="s">
        <v>25</v>
      </c>
      <c r="O384">
        <v>0.96619999999999995</v>
      </c>
      <c r="P384">
        <v>207.44</v>
      </c>
      <c r="Q384" t="s">
        <v>25</v>
      </c>
      <c r="R384">
        <v>0.96619999999999995</v>
      </c>
      <c r="S384">
        <v>207.44</v>
      </c>
      <c r="T384" t="s">
        <v>39</v>
      </c>
      <c r="U384" t="s">
        <v>40</v>
      </c>
    </row>
    <row r="385" spans="1:21" ht="12" customHeight="1" x14ac:dyDescent="0.3">
      <c r="A385">
        <v>2021</v>
      </c>
      <c r="B385">
        <v>3</v>
      </c>
      <c r="C385">
        <v>30194</v>
      </c>
      <c r="D385">
        <v>32467</v>
      </c>
      <c r="E385" t="s">
        <v>21</v>
      </c>
      <c r="F385" t="s">
        <v>22</v>
      </c>
      <c r="G385">
        <v>11259</v>
      </c>
      <c r="H385">
        <v>13303</v>
      </c>
      <c r="I385" t="s">
        <v>23</v>
      </c>
      <c r="J385" t="s">
        <v>26</v>
      </c>
      <c r="K385">
        <v>1121</v>
      </c>
      <c r="L385">
        <v>5</v>
      </c>
      <c r="M385">
        <v>249.18</v>
      </c>
      <c r="N385" t="s">
        <v>31</v>
      </c>
      <c r="O385">
        <v>1</v>
      </c>
      <c r="P385">
        <v>249.18</v>
      </c>
      <c r="Q385" t="s">
        <v>31</v>
      </c>
      <c r="R385">
        <v>1</v>
      </c>
      <c r="S385">
        <v>249.18</v>
      </c>
      <c r="T385" t="s">
        <v>39</v>
      </c>
      <c r="U385" t="s">
        <v>40</v>
      </c>
    </row>
    <row r="386" spans="1:21" ht="12" customHeight="1" x14ac:dyDescent="0.3">
      <c r="A386">
        <v>2021</v>
      </c>
      <c r="B386">
        <v>3</v>
      </c>
      <c r="C386">
        <v>30194</v>
      </c>
      <c r="D386">
        <v>32467</v>
      </c>
      <c r="E386" t="s">
        <v>21</v>
      </c>
      <c r="F386" t="s">
        <v>22</v>
      </c>
      <c r="G386">
        <v>11298</v>
      </c>
      <c r="H386">
        <v>11697</v>
      </c>
      <c r="I386" t="s">
        <v>27</v>
      </c>
      <c r="J386" t="s">
        <v>24</v>
      </c>
      <c r="K386">
        <v>1121</v>
      </c>
      <c r="L386">
        <v>972</v>
      </c>
      <c r="M386">
        <v>192.55</v>
      </c>
      <c r="N386" t="s">
        <v>28</v>
      </c>
      <c r="O386">
        <v>0.50490000000000002</v>
      </c>
      <c r="P386">
        <v>264.86</v>
      </c>
      <c r="Q386" t="s">
        <v>29</v>
      </c>
      <c r="R386">
        <v>0.45429999999999998</v>
      </c>
      <c r="S386">
        <v>107.2</v>
      </c>
      <c r="T386" t="s">
        <v>39</v>
      </c>
      <c r="U386" t="s">
        <v>40</v>
      </c>
    </row>
    <row r="387" spans="1:21" ht="12" customHeight="1" x14ac:dyDescent="0.3">
      <c r="A387">
        <v>2021</v>
      </c>
      <c r="B387">
        <v>3</v>
      </c>
      <c r="C387">
        <v>30194</v>
      </c>
      <c r="D387">
        <v>32467</v>
      </c>
      <c r="E387" t="s">
        <v>21</v>
      </c>
      <c r="F387" t="s">
        <v>22</v>
      </c>
      <c r="G387">
        <v>11298</v>
      </c>
      <c r="H387">
        <v>13303</v>
      </c>
      <c r="I387" t="s">
        <v>27</v>
      </c>
      <c r="J387" t="s">
        <v>26</v>
      </c>
      <c r="K387">
        <v>1121</v>
      </c>
      <c r="L387">
        <v>933</v>
      </c>
      <c r="M387">
        <v>262.24</v>
      </c>
      <c r="N387" t="s">
        <v>28</v>
      </c>
      <c r="O387">
        <v>0.96599999999999997</v>
      </c>
      <c r="P387">
        <v>262.88</v>
      </c>
      <c r="Q387" t="s">
        <v>31</v>
      </c>
      <c r="R387">
        <v>1.77E-2</v>
      </c>
      <c r="S387">
        <v>245.32</v>
      </c>
      <c r="T387" t="s">
        <v>39</v>
      </c>
      <c r="U387" t="s">
        <v>40</v>
      </c>
    </row>
    <row r="388" spans="1:21" ht="12" customHeight="1" x14ac:dyDescent="0.3">
      <c r="A388">
        <v>2021</v>
      </c>
      <c r="B388">
        <v>4</v>
      </c>
      <c r="C388">
        <v>30194</v>
      </c>
      <c r="D388">
        <v>32467</v>
      </c>
      <c r="E388" t="s">
        <v>21</v>
      </c>
      <c r="F388" t="s">
        <v>22</v>
      </c>
      <c r="G388">
        <v>11259</v>
      </c>
      <c r="H388">
        <v>11697</v>
      </c>
      <c r="I388" t="s">
        <v>23</v>
      </c>
      <c r="J388" t="s">
        <v>24</v>
      </c>
      <c r="K388">
        <v>1121</v>
      </c>
      <c r="L388">
        <v>383</v>
      </c>
      <c r="M388">
        <v>196.03</v>
      </c>
      <c r="N388" t="s">
        <v>25</v>
      </c>
      <c r="O388">
        <v>0.97899999999999998</v>
      </c>
      <c r="P388">
        <v>194.37</v>
      </c>
      <c r="Q388" t="s">
        <v>25</v>
      </c>
      <c r="R388">
        <v>0.97899999999999998</v>
      </c>
      <c r="S388">
        <v>194.37</v>
      </c>
    </row>
    <row r="389" spans="1:21" ht="12" customHeight="1" x14ac:dyDescent="0.3">
      <c r="A389">
        <v>2021</v>
      </c>
      <c r="B389">
        <v>4</v>
      </c>
      <c r="C389">
        <v>30194</v>
      </c>
      <c r="D389">
        <v>32467</v>
      </c>
      <c r="E389" t="s">
        <v>21</v>
      </c>
      <c r="F389" t="s">
        <v>22</v>
      </c>
      <c r="G389">
        <v>11259</v>
      </c>
      <c r="H389">
        <v>13303</v>
      </c>
      <c r="I389" t="s">
        <v>23</v>
      </c>
      <c r="J389" t="s">
        <v>26</v>
      </c>
      <c r="K389">
        <v>1121</v>
      </c>
      <c r="L389">
        <v>5</v>
      </c>
      <c r="M389">
        <v>238.5</v>
      </c>
      <c r="N389" t="s">
        <v>31</v>
      </c>
      <c r="O389">
        <v>1</v>
      </c>
      <c r="P389">
        <v>238.5</v>
      </c>
      <c r="Q389" t="s">
        <v>31</v>
      </c>
      <c r="R389">
        <v>1</v>
      </c>
      <c r="S389">
        <v>238.5</v>
      </c>
    </row>
    <row r="390" spans="1:21" ht="12" customHeight="1" x14ac:dyDescent="0.3">
      <c r="A390">
        <v>2021</v>
      </c>
      <c r="B390">
        <v>4</v>
      </c>
      <c r="C390">
        <v>30194</v>
      </c>
      <c r="D390">
        <v>32467</v>
      </c>
      <c r="E390" t="s">
        <v>21</v>
      </c>
      <c r="F390" t="s">
        <v>22</v>
      </c>
      <c r="G390">
        <v>11298</v>
      </c>
      <c r="H390">
        <v>11697</v>
      </c>
      <c r="I390" t="s">
        <v>27</v>
      </c>
      <c r="J390" t="s">
        <v>24</v>
      </c>
      <c r="K390">
        <v>1121</v>
      </c>
      <c r="L390">
        <v>912</v>
      </c>
      <c r="M390">
        <v>204.1</v>
      </c>
      <c r="N390" t="s">
        <v>28</v>
      </c>
      <c r="O390">
        <v>0.55169999999999997</v>
      </c>
      <c r="P390">
        <v>272.29000000000002</v>
      </c>
      <c r="Q390" t="s">
        <v>29</v>
      </c>
      <c r="R390">
        <v>0.40749999999999997</v>
      </c>
      <c r="S390">
        <v>106.26</v>
      </c>
    </row>
    <row r="391" spans="1:21" ht="12" customHeight="1" x14ac:dyDescent="0.3">
      <c r="A391">
        <v>2021</v>
      </c>
      <c r="B391">
        <v>4</v>
      </c>
      <c r="C391">
        <v>30194</v>
      </c>
      <c r="D391">
        <v>32467</v>
      </c>
      <c r="E391" t="s">
        <v>21</v>
      </c>
      <c r="F391" t="s">
        <v>22</v>
      </c>
      <c r="G391">
        <v>11298</v>
      </c>
      <c r="H391">
        <v>13303</v>
      </c>
      <c r="I391" t="s">
        <v>27</v>
      </c>
      <c r="J391" t="s">
        <v>26</v>
      </c>
      <c r="K391">
        <v>1121</v>
      </c>
      <c r="L391">
        <v>960</v>
      </c>
      <c r="M391">
        <v>265.48</v>
      </c>
      <c r="N391" t="s">
        <v>28</v>
      </c>
      <c r="O391">
        <v>0.96609999999999996</v>
      </c>
      <c r="P391">
        <v>265.79000000000002</v>
      </c>
      <c r="Q391" t="s">
        <v>37</v>
      </c>
      <c r="R391">
        <v>1.1599999999999999E-2</v>
      </c>
      <c r="S391">
        <v>189.37</v>
      </c>
    </row>
    <row r="392" spans="1:21" ht="12" customHeight="1" x14ac:dyDescent="0.3">
      <c r="A392">
        <v>2021</v>
      </c>
      <c r="B392">
        <v>1</v>
      </c>
      <c r="C392">
        <v>30194</v>
      </c>
      <c r="D392">
        <v>32467</v>
      </c>
      <c r="E392" t="s">
        <v>21</v>
      </c>
      <c r="F392" t="s">
        <v>22</v>
      </c>
      <c r="G392">
        <v>11259</v>
      </c>
      <c r="H392">
        <v>11697</v>
      </c>
      <c r="I392" t="s">
        <v>23</v>
      </c>
      <c r="J392" t="s">
        <v>24</v>
      </c>
      <c r="K392">
        <v>1121</v>
      </c>
      <c r="L392">
        <v>368</v>
      </c>
      <c r="M392">
        <v>188.81</v>
      </c>
      <c r="N392" t="s">
        <v>25</v>
      </c>
      <c r="O392">
        <v>0.98119999999999996</v>
      </c>
      <c r="P392">
        <v>187.3</v>
      </c>
      <c r="Q392" t="s">
        <v>25</v>
      </c>
      <c r="R392">
        <v>0.98119999999999996</v>
      </c>
      <c r="S392">
        <v>187.3</v>
      </c>
      <c r="T392" t="s">
        <v>39</v>
      </c>
      <c r="U392" t="s">
        <v>40</v>
      </c>
    </row>
    <row r="393" spans="1:21" ht="12" customHeight="1" x14ac:dyDescent="0.3">
      <c r="A393">
        <v>2021</v>
      </c>
      <c r="B393">
        <v>1</v>
      </c>
      <c r="C393">
        <v>30194</v>
      </c>
      <c r="D393">
        <v>32467</v>
      </c>
      <c r="E393" t="s">
        <v>21</v>
      </c>
      <c r="F393" t="s">
        <v>22</v>
      </c>
      <c r="G393">
        <v>11259</v>
      </c>
      <c r="H393">
        <v>13303</v>
      </c>
      <c r="I393" t="s">
        <v>23</v>
      </c>
      <c r="J393" t="s">
        <v>26</v>
      </c>
      <c r="K393">
        <v>1121</v>
      </c>
      <c r="L393">
        <v>4</v>
      </c>
      <c r="M393">
        <v>315.42</v>
      </c>
      <c r="N393" t="s">
        <v>31</v>
      </c>
      <c r="O393">
        <v>1</v>
      </c>
      <c r="P393">
        <v>315.42</v>
      </c>
      <c r="Q393" t="s">
        <v>31</v>
      </c>
      <c r="R393">
        <v>1</v>
      </c>
      <c r="S393">
        <v>315.42</v>
      </c>
      <c r="T393" t="s">
        <v>39</v>
      </c>
      <c r="U393" t="s">
        <v>40</v>
      </c>
    </row>
    <row r="394" spans="1:21" ht="12" customHeight="1" x14ac:dyDescent="0.3">
      <c r="A394">
        <v>2021</v>
      </c>
      <c r="B394">
        <v>1</v>
      </c>
      <c r="C394">
        <v>30194</v>
      </c>
      <c r="D394">
        <v>32467</v>
      </c>
      <c r="E394" t="s">
        <v>21</v>
      </c>
      <c r="F394" t="s">
        <v>22</v>
      </c>
      <c r="G394">
        <v>11298</v>
      </c>
      <c r="H394">
        <v>11697</v>
      </c>
      <c r="I394" t="s">
        <v>27</v>
      </c>
      <c r="J394" t="s">
        <v>24</v>
      </c>
      <c r="K394">
        <v>1121</v>
      </c>
      <c r="L394">
        <v>783</v>
      </c>
      <c r="M394">
        <v>206.47</v>
      </c>
      <c r="N394" t="s">
        <v>28</v>
      </c>
      <c r="O394">
        <v>0.63770000000000004</v>
      </c>
      <c r="P394">
        <v>255.97</v>
      </c>
      <c r="Q394" t="s">
        <v>29</v>
      </c>
      <c r="R394">
        <v>0.3216</v>
      </c>
      <c r="S394">
        <v>104.51</v>
      </c>
      <c r="T394" t="s">
        <v>39</v>
      </c>
      <c r="U394" t="s">
        <v>40</v>
      </c>
    </row>
    <row r="395" spans="1:21" ht="12" customHeight="1" x14ac:dyDescent="0.3">
      <c r="A395">
        <v>2021</v>
      </c>
      <c r="B395">
        <v>1</v>
      </c>
      <c r="C395">
        <v>30194</v>
      </c>
      <c r="D395">
        <v>32467</v>
      </c>
      <c r="E395" t="s">
        <v>21</v>
      </c>
      <c r="F395" t="s">
        <v>22</v>
      </c>
      <c r="G395">
        <v>11298</v>
      </c>
      <c r="H395">
        <v>13303</v>
      </c>
      <c r="I395" t="s">
        <v>27</v>
      </c>
      <c r="J395" t="s">
        <v>26</v>
      </c>
      <c r="K395">
        <v>1121</v>
      </c>
      <c r="L395">
        <v>765</v>
      </c>
      <c r="M395">
        <v>290.77999999999997</v>
      </c>
      <c r="N395" t="s">
        <v>28</v>
      </c>
      <c r="O395">
        <v>0.95920000000000005</v>
      </c>
      <c r="P395">
        <v>291.20999999999998</v>
      </c>
      <c r="Q395" t="s">
        <v>37</v>
      </c>
      <c r="R395">
        <v>1.26E-2</v>
      </c>
      <c r="S395">
        <v>217.63</v>
      </c>
      <c r="T395" t="s">
        <v>39</v>
      </c>
      <c r="U395" t="s">
        <v>40</v>
      </c>
    </row>
    <row r="396" spans="1:21" ht="12" customHeight="1" x14ac:dyDescent="0.3">
      <c r="A396">
        <v>2021</v>
      </c>
      <c r="B396">
        <v>2</v>
      </c>
      <c r="C396">
        <v>30194</v>
      </c>
      <c r="D396">
        <v>32467</v>
      </c>
      <c r="E396" t="s">
        <v>21</v>
      </c>
      <c r="F396" t="s">
        <v>22</v>
      </c>
      <c r="G396">
        <v>11259</v>
      </c>
      <c r="H396">
        <v>11697</v>
      </c>
      <c r="I396" t="s">
        <v>23</v>
      </c>
      <c r="J396" t="s">
        <v>24</v>
      </c>
      <c r="K396">
        <v>1121</v>
      </c>
      <c r="L396">
        <v>68</v>
      </c>
      <c r="M396">
        <v>156.91</v>
      </c>
      <c r="N396" t="s">
        <v>25</v>
      </c>
      <c r="O396">
        <v>0.98870000000000002</v>
      </c>
      <c r="P396">
        <v>157.91</v>
      </c>
      <c r="Q396" t="s">
        <v>25</v>
      </c>
      <c r="R396">
        <v>0.98870000000000002</v>
      </c>
      <c r="S396">
        <v>157.91</v>
      </c>
      <c r="T396" t="s">
        <v>39</v>
      </c>
      <c r="U396" t="s">
        <v>40</v>
      </c>
    </row>
    <row r="397" spans="1:21" ht="12" customHeight="1" x14ac:dyDescent="0.3">
      <c r="A397">
        <v>2021</v>
      </c>
      <c r="B397">
        <v>2</v>
      </c>
      <c r="C397">
        <v>30194</v>
      </c>
      <c r="D397">
        <v>32467</v>
      </c>
      <c r="E397" t="s">
        <v>21</v>
      </c>
      <c r="F397" t="s">
        <v>22</v>
      </c>
      <c r="G397">
        <v>11259</v>
      </c>
      <c r="H397">
        <v>13303</v>
      </c>
      <c r="I397" t="s">
        <v>23</v>
      </c>
      <c r="J397" t="s">
        <v>26</v>
      </c>
      <c r="K397">
        <v>1121</v>
      </c>
      <c r="L397">
        <v>0</v>
      </c>
      <c r="M397">
        <v>224.25</v>
      </c>
      <c r="N397" t="s">
        <v>31</v>
      </c>
      <c r="O397">
        <v>1</v>
      </c>
      <c r="P397">
        <v>224.25</v>
      </c>
      <c r="Q397" t="s">
        <v>31</v>
      </c>
      <c r="R397">
        <v>1</v>
      </c>
      <c r="S397">
        <v>224.25</v>
      </c>
      <c r="T397" t="s">
        <v>39</v>
      </c>
      <c r="U397" t="s">
        <v>40</v>
      </c>
    </row>
    <row r="398" spans="1:21" ht="12" customHeight="1" x14ac:dyDescent="0.3">
      <c r="A398">
        <v>2021</v>
      </c>
      <c r="B398">
        <v>2</v>
      </c>
      <c r="C398">
        <v>30194</v>
      </c>
      <c r="D398">
        <v>32467</v>
      </c>
      <c r="E398" t="s">
        <v>21</v>
      </c>
      <c r="F398" t="s">
        <v>22</v>
      </c>
      <c r="G398">
        <v>11298</v>
      </c>
      <c r="H398">
        <v>11697</v>
      </c>
      <c r="I398" t="s">
        <v>27</v>
      </c>
      <c r="J398" t="s">
        <v>24</v>
      </c>
      <c r="K398">
        <v>1121</v>
      </c>
      <c r="L398">
        <v>152</v>
      </c>
      <c r="M398">
        <v>176.27</v>
      </c>
      <c r="N398" t="s">
        <v>28</v>
      </c>
      <c r="O398">
        <v>0.73429999999999995</v>
      </c>
      <c r="P398">
        <v>204.81</v>
      </c>
      <c r="Q398" t="s">
        <v>29</v>
      </c>
      <c r="R398">
        <v>0.2412</v>
      </c>
      <c r="S398">
        <v>90.77</v>
      </c>
      <c r="T398" t="s">
        <v>39</v>
      </c>
      <c r="U398" t="s">
        <v>40</v>
      </c>
    </row>
    <row r="399" spans="1:21" ht="12" customHeight="1" x14ac:dyDescent="0.3">
      <c r="A399">
        <v>2021</v>
      </c>
      <c r="B399">
        <v>2</v>
      </c>
      <c r="C399">
        <v>30194</v>
      </c>
      <c r="D399">
        <v>32467</v>
      </c>
      <c r="E399" t="s">
        <v>21</v>
      </c>
      <c r="F399" t="s">
        <v>22</v>
      </c>
      <c r="G399">
        <v>11298</v>
      </c>
      <c r="H399">
        <v>13303</v>
      </c>
      <c r="I399" t="s">
        <v>27</v>
      </c>
      <c r="J399" t="s">
        <v>26</v>
      </c>
      <c r="K399">
        <v>1121</v>
      </c>
      <c r="L399">
        <v>219</v>
      </c>
      <c r="M399">
        <v>181.47</v>
      </c>
      <c r="N399" t="s">
        <v>28</v>
      </c>
      <c r="O399">
        <v>0.97840000000000005</v>
      </c>
      <c r="P399">
        <v>181.05</v>
      </c>
      <c r="Q399" t="s">
        <v>28</v>
      </c>
      <c r="R399">
        <v>0.97840000000000005</v>
      </c>
      <c r="S399">
        <v>181.05</v>
      </c>
      <c r="T399" t="s">
        <v>39</v>
      </c>
      <c r="U399" t="s">
        <v>40</v>
      </c>
    </row>
    <row r="400" spans="1:21" ht="12" customHeight="1" x14ac:dyDescent="0.3">
      <c r="A400">
        <v>2021</v>
      </c>
      <c r="B400">
        <v>3</v>
      </c>
      <c r="C400">
        <v>30194</v>
      </c>
      <c r="D400">
        <v>32467</v>
      </c>
      <c r="E400" t="s">
        <v>21</v>
      </c>
      <c r="F400" t="s">
        <v>22</v>
      </c>
      <c r="G400">
        <v>11259</v>
      </c>
      <c r="H400">
        <v>11697</v>
      </c>
      <c r="I400" t="s">
        <v>23</v>
      </c>
      <c r="J400" t="s">
        <v>24</v>
      </c>
      <c r="K400">
        <v>1121</v>
      </c>
      <c r="L400">
        <v>117</v>
      </c>
      <c r="M400">
        <v>145.15</v>
      </c>
      <c r="N400" t="s">
        <v>25</v>
      </c>
      <c r="O400">
        <v>0.97960000000000003</v>
      </c>
      <c r="P400">
        <v>145.15</v>
      </c>
      <c r="Q400" t="s">
        <v>25</v>
      </c>
      <c r="R400">
        <v>0.97960000000000003</v>
      </c>
      <c r="S400">
        <v>145.15</v>
      </c>
    </row>
    <row r="401" spans="1:19" ht="12" customHeight="1" x14ac:dyDescent="0.3">
      <c r="A401">
        <v>2021</v>
      </c>
      <c r="B401">
        <v>3</v>
      </c>
      <c r="C401">
        <v>30194</v>
      </c>
      <c r="D401">
        <v>32467</v>
      </c>
      <c r="E401" t="s">
        <v>21</v>
      </c>
      <c r="F401" t="s">
        <v>22</v>
      </c>
      <c r="G401">
        <v>11259</v>
      </c>
      <c r="H401">
        <v>13303</v>
      </c>
      <c r="I401" t="s">
        <v>23</v>
      </c>
      <c r="J401" t="s">
        <v>26</v>
      </c>
      <c r="K401">
        <v>1121</v>
      </c>
      <c r="L401">
        <v>2</v>
      </c>
      <c r="M401">
        <v>138.38999999999999</v>
      </c>
      <c r="N401" t="s">
        <v>31</v>
      </c>
      <c r="O401">
        <v>0.95450000000000002</v>
      </c>
      <c r="P401">
        <v>135.94999999999999</v>
      </c>
      <c r="Q401" t="s">
        <v>31</v>
      </c>
      <c r="R401">
        <v>0.95450000000000002</v>
      </c>
      <c r="S401">
        <v>135.94999999999999</v>
      </c>
    </row>
    <row r="402" spans="1:19" ht="12" customHeight="1" x14ac:dyDescent="0.3">
      <c r="A402">
        <v>2021</v>
      </c>
      <c r="B402">
        <v>3</v>
      </c>
      <c r="C402">
        <v>30194</v>
      </c>
      <c r="D402">
        <v>32467</v>
      </c>
      <c r="E402" t="s">
        <v>21</v>
      </c>
      <c r="F402" t="s">
        <v>22</v>
      </c>
      <c r="G402">
        <v>11298</v>
      </c>
      <c r="H402">
        <v>11697</v>
      </c>
      <c r="I402" t="s">
        <v>27</v>
      </c>
      <c r="J402" t="s">
        <v>24</v>
      </c>
      <c r="K402">
        <v>1121</v>
      </c>
      <c r="L402">
        <v>290</v>
      </c>
      <c r="M402">
        <v>137.65</v>
      </c>
      <c r="N402" t="s">
        <v>28</v>
      </c>
      <c r="O402">
        <v>0.78969999999999996</v>
      </c>
      <c r="P402">
        <v>143.24</v>
      </c>
      <c r="Q402" t="s">
        <v>29</v>
      </c>
      <c r="R402">
        <v>0.1875</v>
      </c>
      <c r="S402">
        <v>102</v>
      </c>
    </row>
    <row r="403" spans="1:19" ht="12" customHeight="1" x14ac:dyDescent="0.3">
      <c r="A403">
        <v>2021</v>
      </c>
      <c r="B403">
        <v>3</v>
      </c>
      <c r="C403">
        <v>30194</v>
      </c>
      <c r="D403">
        <v>32467</v>
      </c>
      <c r="E403" t="s">
        <v>21</v>
      </c>
      <c r="F403" t="s">
        <v>22</v>
      </c>
      <c r="G403">
        <v>11298</v>
      </c>
      <c r="H403">
        <v>13303</v>
      </c>
      <c r="I403" t="s">
        <v>27</v>
      </c>
      <c r="J403" t="s">
        <v>26</v>
      </c>
      <c r="K403">
        <v>1121</v>
      </c>
      <c r="L403">
        <v>365</v>
      </c>
      <c r="M403">
        <v>178.75</v>
      </c>
      <c r="N403" t="s">
        <v>28</v>
      </c>
      <c r="O403">
        <v>0.96460000000000001</v>
      </c>
      <c r="P403">
        <v>179.42</v>
      </c>
      <c r="Q403" t="s">
        <v>31</v>
      </c>
      <c r="R403">
        <v>1.46E-2</v>
      </c>
      <c r="S403">
        <v>138.83000000000001</v>
      </c>
    </row>
    <row r="404" spans="1:19" ht="12" customHeight="1" x14ac:dyDescent="0.3">
      <c r="A404">
        <v>2021</v>
      </c>
      <c r="B404">
        <v>4</v>
      </c>
      <c r="C404">
        <v>30194</v>
      </c>
      <c r="D404">
        <v>32467</v>
      </c>
      <c r="E404" t="s">
        <v>21</v>
      </c>
      <c r="F404" t="s">
        <v>22</v>
      </c>
      <c r="G404">
        <v>11259</v>
      </c>
      <c r="H404">
        <v>11697</v>
      </c>
      <c r="I404" t="s">
        <v>23</v>
      </c>
      <c r="J404" t="s">
        <v>24</v>
      </c>
      <c r="K404">
        <v>1121</v>
      </c>
      <c r="L404">
        <v>161</v>
      </c>
      <c r="M404">
        <v>134.91</v>
      </c>
      <c r="N404" t="s">
        <v>25</v>
      </c>
      <c r="O404">
        <v>0.97970000000000002</v>
      </c>
      <c r="P404">
        <v>133.6</v>
      </c>
      <c r="Q404" t="s">
        <v>25</v>
      </c>
      <c r="R404">
        <v>0.97970000000000002</v>
      </c>
      <c r="S404">
        <v>133.6</v>
      </c>
    </row>
    <row r="405" spans="1:19" ht="12" customHeight="1" x14ac:dyDescent="0.3">
      <c r="A405">
        <v>2021</v>
      </c>
      <c r="B405">
        <v>4</v>
      </c>
      <c r="C405">
        <v>30194</v>
      </c>
      <c r="D405">
        <v>32467</v>
      </c>
      <c r="E405" t="s">
        <v>21</v>
      </c>
      <c r="F405" t="s">
        <v>22</v>
      </c>
      <c r="G405">
        <v>11259</v>
      </c>
      <c r="H405">
        <v>13303</v>
      </c>
      <c r="I405" t="s">
        <v>23</v>
      </c>
      <c r="J405" t="s">
        <v>26</v>
      </c>
      <c r="K405">
        <v>1121</v>
      </c>
      <c r="L405">
        <v>12</v>
      </c>
      <c r="M405">
        <v>129.53</v>
      </c>
      <c r="N405" t="s">
        <v>25</v>
      </c>
      <c r="O405">
        <v>0.77680000000000005</v>
      </c>
      <c r="P405">
        <v>118.07</v>
      </c>
      <c r="Q405" t="s">
        <v>25</v>
      </c>
      <c r="R405">
        <v>0.77680000000000005</v>
      </c>
      <c r="S405">
        <v>118.07</v>
      </c>
    </row>
    <row r="406" spans="1:19" ht="12" customHeight="1" x14ac:dyDescent="0.3">
      <c r="A406">
        <v>2021</v>
      </c>
      <c r="B406">
        <v>4</v>
      </c>
      <c r="C406">
        <v>30194</v>
      </c>
      <c r="D406">
        <v>32467</v>
      </c>
      <c r="E406" t="s">
        <v>21</v>
      </c>
      <c r="F406" t="s">
        <v>22</v>
      </c>
      <c r="G406">
        <v>11298</v>
      </c>
      <c r="H406">
        <v>11697</v>
      </c>
      <c r="I406" t="s">
        <v>27</v>
      </c>
      <c r="J406" t="s">
        <v>24</v>
      </c>
      <c r="K406">
        <v>1121</v>
      </c>
      <c r="L406">
        <v>611</v>
      </c>
      <c r="M406">
        <v>116.43</v>
      </c>
      <c r="N406" t="s">
        <v>28</v>
      </c>
      <c r="O406">
        <v>0.7742</v>
      </c>
      <c r="P406">
        <v>119.71</v>
      </c>
      <c r="Q406" t="s">
        <v>29</v>
      </c>
      <c r="R406">
        <v>0.20960000000000001</v>
      </c>
      <c r="S406">
        <v>97.47</v>
      </c>
    </row>
    <row r="407" spans="1:19" ht="12" customHeight="1" x14ac:dyDescent="0.3">
      <c r="A407">
        <v>2021</v>
      </c>
      <c r="B407">
        <v>4</v>
      </c>
      <c r="C407">
        <v>30194</v>
      </c>
      <c r="D407">
        <v>32467</v>
      </c>
      <c r="E407" t="s">
        <v>21</v>
      </c>
      <c r="F407" t="s">
        <v>22</v>
      </c>
      <c r="G407">
        <v>11298</v>
      </c>
      <c r="H407">
        <v>13303</v>
      </c>
      <c r="I407" t="s">
        <v>27</v>
      </c>
      <c r="J407" t="s">
        <v>26</v>
      </c>
      <c r="K407">
        <v>1121</v>
      </c>
      <c r="L407">
        <v>410</v>
      </c>
      <c r="M407">
        <v>189.08</v>
      </c>
      <c r="N407" t="s">
        <v>28</v>
      </c>
      <c r="O407">
        <v>0.95920000000000005</v>
      </c>
      <c r="P407">
        <v>188.24</v>
      </c>
      <c r="Q407" t="s">
        <v>28</v>
      </c>
      <c r="R407">
        <v>0.95920000000000005</v>
      </c>
      <c r="S407">
        <v>188.24</v>
      </c>
    </row>
    <row r="408" spans="1:19" ht="12" customHeight="1" x14ac:dyDescent="0.3">
      <c r="A408">
        <v>2021</v>
      </c>
      <c r="B408">
        <v>1</v>
      </c>
      <c r="C408">
        <v>30194</v>
      </c>
      <c r="D408">
        <v>32467</v>
      </c>
      <c r="E408" t="s">
        <v>21</v>
      </c>
      <c r="F408" t="s">
        <v>22</v>
      </c>
      <c r="G408">
        <v>11259</v>
      </c>
      <c r="H408">
        <v>11697</v>
      </c>
      <c r="I408" t="s">
        <v>23</v>
      </c>
      <c r="J408" t="s">
        <v>24</v>
      </c>
      <c r="K408">
        <v>1121</v>
      </c>
      <c r="L408">
        <v>201</v>
      </c>
      <c r="M408">
        <v>126.46</v>
      </c>
      <c r="N408" t="s">
        <v>25</v>
      </c>
      <c r="O408">
        <v>0.98119999999999996</v>
      </c>
      <c r="P408">
        <v>125.46</v>
      </c>
      <c r="Q408" t="s">
        <v>25</v>
      </c>
      <c r="R408">
        <v>0.98119999999999996</v>
      </c>
      <c r="S408">
        <v>125.46</v>
      </c>
    </row>
    <row r="409" spans="1:19" ht="12" customHeight="1" x14ac:dyDescent="0.3">
      <c r="A409">
        <v>2021</v>
      </c>
      <c r="B409">
        <v>1</v>
      </c>
      <c r="C409">
        <v>30194</v>
      </c>
      <c r="D409">
        <v>32467</v>
      </c>
      <c r="E409" t="s">
        <v>21</v>
      </c>
      <c r="F409" t="s">
        <v>22</v>
      </c>
      <c r="G409">
        <v>11259</v>
      </c>
      <c r="H409">
        <v>13303</v>
      </c>
      <c r="I409" t="s">
        <v>23</v>
      </c>
      <c r="J409" t="s">
        <v>26</v>
      </c>
      <c r="K409">
        <v>1121</v>
      </c>
      <c r="L409">
        <v>59</v>
      </c>
      <c r="M409">
        <v>137.49</v>
      </c>
      <c r="N409" t="s">
        <v>25</v>
      </c>
      <c r="O409">
        <v>0.91100000000000003</v>
      </c>
      <c r="P409">
        <v>131.53</v>
      </c>
      <c r="Q409" t="s">
        <v>25</v>
      </c>
      <c r="R409">
        <v>0.91100000000000003</v>
      </c>
      <c r="S409">
        <v>131.53</v>
      </c>
    </row>
    <row r="410" spans="1:19" ht="12" customHeight="1" x14ac:dyDescent="0.3">
      <c r="A410">
        <v>2021</v>
      </c>
      <c r="B410">
        <v>1</v>
      </c>
      <c r="C410">
        <v>30194</v>
      </c>
      <c r="D410">
        <v>32467</v>
      </c>
      <c r="E410" t="s">
        <v>21</v>
      </c>
      <c r="F410" t="s">
        <v>22</v>
      </c>
      <c r="G410">
        <v>11298</v>
      </c>
      <c r="H410">
        <v>11697</v>
      </c>
      <c r="I410" t="s">
        <v>27</v>
      </c>
      <c r="J410" t="s">
        <v>24</v>
      </c>
      <c r="K410">
        <v>1121</v>
      </c>
      <c r="L410">
        <v>553</v>
      </c>
      <c r="M410">
        <v>136.36000000000001</v>
      </c>
      <c r="N410" t="s">
        <v>28</v>
      </c>
      <c r="O410">
        <v>0.68969999999999998</v>
      </c>
      <c r="P410">
        <v>146.22</v>
      </c>
      <c r="Q410" t="s">
        <v>29</v>
      </c>
      <c r="R410">
        <v>0.29380000000000001</v>
      </c>
      <c r="S410">
        <v>108.16</v>
      </c>
    </row>
    <row r="411" spans="1:19" ht="12" customHeight="1" x14ac:dyDescent="0.3">
      <c r="A411">
        <v>2021</v>
      </c>
      <c r="B411">
        <v>1</v>
      </c>
      <c r="C411">
        <v>30194</v>
      </c>
      <c r="D411">
        <v>32467</v>
      </c>
      <c r="E411" t="s">
        <v>21</v>
      </c>
      <c r="F411" t="s">
        <v>22</v>
      </c>
      <c r="G411">
        <v>11298</v>
      </c>
      <c r="H411">
        <v>13303</v>
      </c>
      <c r="I411" t="s">
        <v>27</v>
      </c>
      <c r="J411" t="s">
        <v>26</v>
      </c>
      <c r="K411">
        <v>1121</v>
      </c>
      <c r="L411">
        <v>704</v>
      </c>
      <c r="M411">
        <v>176.63</v>
      </c>
      <c r="N411" t="s">
        <v>28</v>
      </c>
      <c r="O411">
        <v>0.94499999999999995</v>
      </c>
      <c r="P411">
        <v>176.7</v>
      </c>
      <c r="Q411" t="s">
        <v>30</v>
      </c>
      <c r="R411">
        <v>2.6499999999999999E-2</v>
      </c>
      <c r="S411">
        <v>106.7</v>
      </c>
    </row>
    <row r="412" spans="1:19" ht="12" customHeight="1" x14ac:dyDescent="0.3">
      <c r="A412">
        <v>2021</v>
      </c>
      <c r="B412">
        <v>2</v>
      </c>
      <c r="C412">
        <v>30194</v>
      </c>
      <c r="D412">
        <v>32467</v>
      </c>
      <c r="E412" t="s">
        <v>21</v>
      </c>
      <c r="F412" t="s">
        <v>22</v>
      </c>
      <c r="G412">
        <v>11259</v>
      </c>
      <c r="H412">
        <v>11697</v>
      </c>
      <c r="I412" t="s">
        <v>23</v>
      </c>
      <c r="J412" t="s">
        <v>24</v>
      </c>
      <c r="K412">
        <v>1121</v>
      </c>
      <c r="L412">
        <v>374</v>
      </c>
      <c r="M412">
        <v>128.47999999999999</v>
      </c>
      <c r="N412" t="s">
        <v>25</v>
      </c>
      <c r="O412">
        <v>0.9859</v>
      </c>
      <c r="P412">
        <v>127.82</v>
      </c>
      <c r="Q412" t="s">
        <v>25</v>
      </c>
      <c r="R412">
        <v>0.9859</v>
      </c>
      <c r="S412">
        <v>127.82</v>
      </c>
    </row>
    <row r="413" spans="1:19" ht="12" customHeight="1" x14ac:dyDescent="0.3">
      <c r="A413">
        <v>2021</v>
      </c>
      <c r="B413">
        <v>2</v>
      </c>
      <c r="C413">
        <v>30194</v>
      </c>
      <c r="D413">
        <v>32467</v>
      </c>
      <c r="E413" t="s">
        <v>21</v>
      </c>
      <c r="F413" t="s">
        <v>22</v>
      </c>
      <c r="G413">
        <v>11259</v>
      </c>
      <c r="H413">
        <v>13303</v>
      </c>
      <c r="I413" t="s">
        <v>23</v>
      </c>
      <c r="J413" t="s">
        <v>26</v>
      </c>
      <c r="K413">
        <v>1121</v>
      </c>
      <c r="L413">
        <v>170</v>
      </c>
      <c r="M413">
        <v>148.24</v>
      </c>
      <c r="N413" t="s">
        <v>25</v>
      </c>
      <c r="O413">
        <v>0.95740000000000003</v>
      </c>
      <c r="P413">
        <v>147.4</v>
      </c>
      <c r="Q413" t="s">
        <v>25</v>
      </c>
      <c r="R413">
        <v>0.95740000000000003</v>
      </c>
      <c r="S413">
        <v>147.4</v>
      </c>
    </row>
    <row r="414" spans="1:19" ht="12" customHeight="1" x14ac:dyDescent="0.3">
      <c r="A414">
        <v>2021</v>
      </c>
      <c r="B414">
        <v>2</v>
      </c>
      <c r="C414">
        <v>30194</v>
      </c>
      <c r="D414">
        <v>32467</v>
      </c>
      <c r="E414" t="s">
        <v>21</v>
      </c>
      <c r="F414" t="s">
        <v>22</v>
      </c>
      <c r="G414">
        <v>11298</v>
      </c>
      <c r="H414">
        <v>11697</v>
      </c>
      <c r="I414" t="s">
        <v>27</v>
      </c>
      <c r="J414" t="s">
        <v>24</v>
      </c>
      <c r="K414">
        <v>1121</v>
      </c>
      <c r="L414">
        <v>1099</v>
      </c>
      <c r="M414">
        <v>131.28</v>
      </c>
      <c r="N414" t="s">
        <v>28</v>
      </c>
      <c r="O414">
        <v>0.71379999999999999</v>
      </c>
      <c r="P414">
        <v>141.62</v>
      </c>
      <c r="Q414" t="s">
        <v>29</v>
      </c>
      <c r="R414">
        <v>0.26950000000000002</v>
      </c>
      <c r="S414">
        <v>95.94</v>
      </c>
    </row>
    <row r="415" spans="1:19" ht="12" customHeight="1" x14ac:dyDescent="0.3">
      <c r="A415">
        <v>2021</v>
      </c>
      <c r="B415">
        <v>2</v>
      </c>
      <c r="C415">
        <v>30194</v>
      </c>
      <c r="D415">
        <v>32467</v>
      </c>
      <c r="E415" t="s">
        <v>21</v>
      </c>
      <c r="F415" t="s">
        <v>22</v>
      </c>
      <c r="G415">
        <v>11298</v>
      </c>
      <c r="H415">
        <v>13303</v>
      </c>
      <c r="I415" t="s">
        <v>27</v>
      </c>
      <c r="J415" t="s">
        <v>26</v>
      </c>
      <c r="K415">
        <v>1121</v>
      </c>
      <c r="L415">
        <v>1080</v>
      </c>
      <c r="M415">
        <v>183.93</v>
      </c>
      <c r="N415" t="s">
        <v>28</v>
      </c>
      <c r="O415">
        <v>0.92730000000000001</v>
      </c>
      <c r="P415">
        <v>186.82</v>
      </c>
      <c r="Q415" t="s">
        <v>30</v>
      </c>
      <c r="R415">
        <v>4.4400000000000002E-2</v>
      </c>
      <c r="S415">
        <v>93.3</v>
      </c>
    </row>
    <row r="416" spans="1:19" ht="12" customHeight="1" x14ac:dyDescent="0.3">
      <c r="A416">
        <v>2021</v>
      </c>
      <c r="B416">
        <v>2</v>
      </c>
      <c r="C416">
        <v>30194</v>
      </c>
      <c r="D416">
        <v>32467</v>
      </c>
      <c r="E416" t="s">
        <v>21</v>
      </c>
      <c r="F416" t="s">
        <v>22</v>
      </c>
      <c r="G416">
        <v>11259</v>
      </c>
      <c r="H416">
        <v>11697</v>
      </c>
      <c r="I416" t="s">
        <v>23</v>
      </c>
      <c r="J416" t="s">
        <v>24</v>
      </c>
      <c r="K416">
        <v>1121</v>
      </c>
      <c r="L416">
        <v>304</v>
      </c>
      <c r="M416">
        <v>200.21</v>
      </c>
      <c r="N416" t="s">
        <v>25</v>
      </c>
      <c r="O416">
        <v>0.97860000000000003</v>
      </c>
      <c r="P416">
        <v>198.33</v>
      </c>
      <c r="Q416" t="s">
        <v>25</v>
      </c>
      <c r="R416">
        <v>0.97860000000000003</v>
      </c>
      <c r="S416">
        <v>198.33</v>
      </c>
    </row>
    <row r="417" spans="1:19" ht="12" customHeight="1" x14ac:dyDescent="0.3">
      <c r="A417">
        <v>2021</v>
      </c>
      <c r="B417">
        <v>2</v>
      </c>
      <c r="C417">
        <v>30194</v>
      </c>
      <c r="D417">
        <v>32467</v>
      </c>
      <c r="E417" t="s">
        <v>21</v>
      </c>
      <c r="F417" t="s">
        <v>22</v>
      </c>
      <c r="G417">
        <v>11259</v>
      </c>
      <c r="H417">
        <v>13303</v>
      </c>
      <c r="I417" t="s">
        <v>23</v>
      </c>
      <c r="J417" t="s">
        <v>26</v>
      </c>
      <c r="K417">
        <v>1121</v>
      </c>
      <c r="L417">
        <v>260</v>
      </c>
      <c r="M417">
        <v>183.15</v>
      </c>
      <c r="N417" t="s">
        <v>25</v>
      </c>
      <c r="O417">
        <v>0.98180000000000001</v>
      </c>
      <c r="P417">
        <v>181.92</v>
      </c>
      <c r="Q417" t="s">
        <v>25</v>
      </c>
      <c r="R417">
        <v>0.98180000000000001</v>
      </c>
      <c r="S417">
        <v>181.92</v>
      </c>
    </row>
    <row r="418" spans="1:19" ht="12" customHeight="1" x14ac:dyDescent="0.3">
      <c r="A418">
        <v>2021</v>
      </c>
      <c r="B418">
        <v>2</v>
      </c>
      <c r="C418">
        <v>30194</v>
      </c>
      <c r="D418">
        <v>32467</v>
      </c>
      <c r="E418" t="s">
        <v>21</v>
      </c>
      <c r="F418" t="s">
        <v>22</v>
      </c>
      <c r="G418">
        <v>11298</v>
      </c>
      <c r="H418">
        <v>11697</v>
      </c>
      <c r="I418" t="s">
        <v>27</v>
      </c>
      <c r="J418" t="s">
        <v>24</v>
      </c>
      <c r="K418">
        <v>1121</v>
      </c>
      <c r="L418">
        <v>1140</v>
      </c>
      <c r="M418">
        <v>205.56</v>
      </c>
      <c r="N418" t="s">
        <v>28</v>
      </c>
      <c r="O418">
        <v>0.54239999999999999</v>
      </c>
      <c r="P418">
        <v>261.58999999999997</v>
      </c>
      <c r="Q418" t="s">
        <v>29</v>
      </c>
      <c r="R418">
        <v>0.42830000000000001</v>
      </c>
      <c r="S418">
        <v>127.1</v>
      </c>
    </row>
    <row r="419" spans="1:19" ht="12" customHeight="1" x14ac:dyDescent="0.3">
      <c r="A419">
        <v>2021</v>
      </c>
      <c r="B419">
        <v>2</v>
      </c>
      <c r="C419">
        <v>30194</v>
      </c>
      <c r="D419">
        <v>32467</v>
      </c>
      <c r="E419" t="s">
        <v>21</v>
      </c>
      <c r="F419" t="s">
        <v>22</v>
      </c>
      <c r="G419">
        <v>11298</v>
      </c>
      <c r="H419">
        <v>13303</v>
      </c>
      <c r="I419" t="s">
        <v>27</v>
      </c>
      <c r="J419" t="s">
        <v>26</v>
      </c>
      <c r="K419">
        <v>1121</v>
      </c>
      <c r="L419">
        <v>1483</v>
      </c>
      <c r="M419">
        <v>241.68</v>
      </c>
      <c r="N419" t="s">
        <v>28</v>
      </c>
      <c r="O419">
        <v>0.66690000000000005</v>
      </c>
      <c r="P419">
        <v>293.87</v>
      </c>
      <c r="Q419" t="s">
        <v>29</v>
      </c>
      <c r="R419">
        <v>0.2505</v>
      </c>
      <c r="S419">
        <v>126.97</v>
      </c>
    </row>
    <row r="420" spans="1:19" ht="12" customHeight="1" x14ac:dyDescent="0.3">
      <c r="A420">
        <v>2021</v>
      </c>
      <c r="B420">
        <v>3</v>
      </c>
      <c r="C420">
        <v>30194</v>
      </c>
      <c r="D420">
        <v>32467</v>
      </c>
      <c r="E420" t="s">
        <v>21</v>
      </c>
      <c r="F420" t="s">
        <v>22</v>
      </c>
      <c r="G420">
        <v>11259</v>
      </c>
      <c r="H420">
        <v>11697</v>
      </c>
      <c r="I420" t="s">
        <v>23</v>
      </c>
      <c r="J420" t="s">
        <v>24</v>
      </c>
      <c r="K420">
        <v>1121</v>
      </c>
      <c r="L420">
        <v>324</v>
      </c>
      <c r="M420">
        <v>186.64</v>
      </c>
      <c r="N420" t="s">
        <v>25</v>
      </c>
      <c r="O420">
        <v>0.98619999999999997</v>
      </c>
      <c r="P420">
        <v>185.23</v>
      </c>
      <c r="Q420" t="s">
        <v>25</v>
      </c>
      <c r="R420">
        <v>0.98619999999999997</v>
      </c>
      <c r="S420">
        <v>185.23</v>
      </c>
    </row>
    <row r="421" spans="1:19" ht="12" customHeight="1" x14ac:dyDescent="0.3">
      <c r="A421">
        <v>2021</v>
      </c>
      <c r="B421">
        <v>3</v>
      </c>
      <c r="C421">
        <v>30194</v>
      </c>
      <c r="D421">
        <v>32467</v>
      </c>
      <c r="E421" t="s">
        <v>21</v>
      </c>
      <c r="F421" t="s">
        <v>22</v>
      </c>
      <c r="G421">
        <v>11259</v>
      </c>
      <c r="H421">
        <v>13303</v>
      </c>
      <c r="I421" t="s">
        <v>23</v>
      </c>
      <c r="J421" t="s">
        <v>26</v>
      </c>
      <c r="K421">
        <v>1121</v>
      </c>
      <c r="L421">
        <v>216</v>
      </c>
      <c r="M421">
        <v>190.09</v>
      </c>
      <c r="N421" t="s">
        <v>25</v>
      </c>
      <c r="O421">
        <v>0.9829</v>
      </c>
      <c r="P421">
        <v>189.36</v>
      </c>
      <c r="Q421" t="s">
        <v>25</v>
      </c>
      <c r="R421">
        <v>0.9829</v>
      </c>
      <c r="S421">
        <v>189.36</v>
      </c>
    </row>
    <row r="422" spans="1:19" ht="12" customHeight="1" x14ac:dyDescent="0.3">
      <c r="A422">
        <v>2021</v>
      </c>
      <c r="B422">
        <v>3</v>
      </c>
      <c r="C422">
        <v>30194</v>
      </c>
      <c r="D422">
        <v>32467</v>
      </c>
      <c r="E422" t="s">
        <v>21</v>
      </c>
      <c r="F422" t="s">
        <v>22</v>
      </c>
      <c r="G422">
        <v>11298</v>
      </c>
      <c r="H422">
        <v>11697</v>
      </c>
      <c r="I422" t="s">
        <v>27</v>
      </c>
      <c r="J422" t="s">
        <v>24</v>
      </c>
      <c r="K422">
        <v>1121</v>
      </c>
      <c r="L422">
        <v>961</v>
      </c>
      <c r="M422">
        <v>216.81</v>
      </c>
      <c r="N422" t="s">
        <v>28</v>
      </c>
      <c r="O422">
        <v>0.60240000000000005</v>
      </c>
      <c r="P422">
        <v>264.76</v>
      </c>
      <c r="Q422" t="s">
        <v>29</v>
      </c>
      <c r="R422">
        <v>0.37059999999999998</v>
      </c>
      <c r="S422">
        <v>131.19999999999999</v>
      </c>
    </row>
    <row r="423" spans="1:19" ht="12" customHeight="1" x14ac:dyDescent="0.3">
      <c r="A423">
        <v>2021</v>
      </c>
      <c r="B423">
        <v>3</v>
      </c>
      <c r="C423">
        <v>30194</v>
      </c>
      <c r="D423">
        <v>32467</v>
      </c>
      <c r="E423" t="s">
        <v>21</v>
      </c>
      <c r="F423" t="s">
        <v>22</v>
      </c>
      <c r="G423">
        <v>11298</v>
      </c>
      <c r="H423">
        <v>13303</v>
      </c>
      <c r="I423" t="s">
        <v>27</v>
      </c>
      <c r="J423" t="s">
        <v>26</v>
      </c>
      <c r="K423">
        <v>1121</v>
      </c>
      <c r="L423">
        <v>1267</v>
      </c>
      <c r="M423">
        <v>233.42</v>
      </c>
      <c r="N423" t="s">
        <v>28</v>
      </c>
      <c r="O423">
        <v>0.59940000000000004</v>
      </c>
      <c r="P423">
        <v>297.14999999999998</v>
      </c>
      <c r="Q423" t="s">
        <v>29</v>
      </c>
      <c r="R423">
        <v>0.37869999999999998</v>
      </c>
      <c r="S423">
        <v>129.36000000000001</v>
      </c>
    </row>
    <row r="424" spans="1:19" ht="12" customHeight="1" x14ac:dyDescent="0.3">
      <c r="A424">
        <v>2021</v>
      </c>
      <c r="B424">
        <v>4</v>
      </c>
      <c r="C424">
        <v>30194</v>
      </c>
      <c r="D424">
        <v>32467</v>
      </c>
      <c r="E424" t="s">
        <v>21</v>
      </c>
      <c r="F424" t="s">
        <v>22</v>
      </c>
      <c r="G424">
        <v>11259</v>
      </c>
      <c r="H424">
        <v>11697</v>
      </c>
      <c r="I424" t="s">
        <v>23</v>
      </c>
      <c r="J424" t="s">
        <v>24</v>
      </c>
      <c r="K424">
        <v>1121</v>
      </c>
      <c r="L424">
        <v>382</v>
      </c>
      <c r="M424">
        <v>196.45</v>
      </c>
      <c r="N424" t="s">
        <v>25</v>
      </c>
      <c r="O424">
        <v>0.98919999999999997</v>
      </c>
      <c r="P424">
        <v>194.66</v>
      </c>
      <c r="Q424" t="s">
        <v>25</v>
      </c>
      <c r="R424">
        <v>0.98919999999999997</v>
      </c>
      <c r="S424">
        <v>194.66</v>
      </c>
    </row>
    <row r="425" spans="1:19" ht="12" customHeight="1" x14ac:dyDescent="0.3">
      <c r="A425">
        <v>2021</v>
      </c>
      <c r="B425">
        <v>4</v>
      </c>
      <c r="C425">
        <v>30194</v>
      </c>
      <c r="D425">
        <v>32467</v>
      </c>
      <c r="E425" t="s">
        <v>21</v>
      </c>
      <c r="F425" t="s">
        <v>22</v>
      </c>
      <c r="G425">
        <v>11259</v>
      </c>
      <c r="H425">
        <v>13303</v>
      </c>
      <c r="I425" t="s">
        <v>23</v>
      </c>
      <c r="J425" t="s">
        <v>26</v>
      </c>
      <c r="K425">
        <v>1121</v>
      </c>
      <c r="L425">
        <v>233</v>
      </c>
      <c r="M425">
        <v>190.3</v>
      </c>
      <c r="N425" t="s">
        <v>25</v>
      </c>
      <c r="O425">
        <v>0.98599999999999999</v>
      </c>
      <c r="P425">
        <v>188.8</v>
      </c>
      <c r="Q425" t="s">
        <v>25</v>
      </c>
      <c r="R425">
        <v>0.98599999999999999</v>
      </c>
      <c r="S425">
        <v>188.8</v>
      </c>
    </row>
    <row r="426" spans="1:19" ht="12" customHeight="1" x14ac:dyDescent="0.3">
      <c r="A426">
        <v>2021</v>
      </c>
      <c r="B426">
        <v>4</v>
      </c>
      <c r="C426">
        <v>30194</v>
      </c>
      <c r="D426">
        <v>32467</v>
      </c>
      <c r="E426" t="s">
        <v>21</v>
      </c>
      <c r="F426" t="s">
        <v>22</v>
      </c>
      <c r="G426">
        <v>11298</v>
      </c>
      <c r="H426">
        <v>11697</v>
      </c>
      <c r="I426" t="s">
        <v>27</v>
      </c>
      <c r="J426" t="s">
        <v>24</v>
      </c>
      <c r="K426">
        <v>1121</v>
      </c>
      <c r="L426">
        <v>964</v>
      </c>
      <c r="M426">
        <v>227.56</v>
      </c>
      <c r="N426" t="s">
        <v>28</v>
      </c>
      <c r="O426">
        <v>0.54990000000000006</v>
      </c>
      <c r="P426">
        <v>301.51</v>
      </c>
      <c r="Q426" t="s">
        <v>29</v>
      </c>
      <c r="R426">
        <v>0.41210000000000002</v>
      </c>
      <c r="S426">
        <v>123.16</v>
      </c>
    </row>
    <row r="427" spans="1:19" ht="12" customHeight="1" x14ac:dyDescent="0.3">
      <c r="A427">
        <v>2021</v>
      </c>
      <c r="B427">
        <v>4</v>
      </c>
      <c r="C427">
        <v>30194</v>
      </c>
      <c r="D427">
        <v>32467</v>
      </c>
      <c r="E427" t="s">
        <v>21</v>
      </c>
      <c r="F427" t="s">
        <v>22</v>
      </c>
      <c r="G427">
        <v>11298</v>
      </c>
      <c r="H427">
        <v>13303</v>
      </c>
      <c r="I427" t="s">
        <v>27</v>
      </c>
      <c r="J427" t="s">
        <v>26</v>
      </c>
      <c r="K427">
        <v>1121</v>
      </c>
      <c r="L427">
        <v>1170</v>
      </c>
      <c r="M427">
        <v>279.73</v>
      </c>
      <c r="N427" t="s">
        <v>28</v>
      </c>
      <c r="O427">
        <v>0.66300000000000003</v>
      </c>
      <c r="P427">
        <v>350.79</v>
      </c>
      <c r="Q427" t="s">
        <v>29</v>
      </c>
      <c r="R427">
        <v>0.30280000000000001</v>
      </c>
      <c r="S427">
        <v>120.13</v>
      </c>
    </row>
    <row r="428" spans="1:19" ht="12" customHeight="1" x14ac:dyDescent="0.3">
      <c r="A428">
        <v>2021</v>
      </c>
      <c r="B428">
        <v>1</v>
      </c>
      <c r="C428">
        <v>30194</v>
      </c>
      <c r="D428">
        <v>32467</v>
      </c>
      <c r="E428" t="s">
        <v>21</v>
      </c>
      <c r="F428" t="s">
        <v>22</v>
      </c>
      <c r="G428">
        <v>11259</v>
      </c>
      <c r="H428">
        <v>11697</v>
      </c>
      <c r="I428" t="s">
        <v>23</v>
      </c>
      <c r="J428" t="s">
        <v>24</v>
      </c>
      <c r="K428">
        <v>1121</v>
      </c>
      <c r="L428">
        <v>325</v>
      </c>
      <c r="M428">
        <v>225.81</v>
      </c>
      <c r="N428" t="s">
        <v>25</v>
      </c>
      <c r="O428">
        <v>0.99180000000000001</v>
      </c>
      <c r="P428">
        <v>225.45</v>
      </c>
      <c r="Q428" t="s">
        <v>25</v>
      </c>
      <c r="R428">
        <v>0.99180000000000001</v>
      </c>
      <c r="S428">
        <v>225.45</v>
      </c>
    </row>
    <row r="429" spans="1:19" ht="12" customHeight="1" x14ac:dyDescent="0.3">
      <c r="A429">
        <v>2021</v>
      </c>
      <c r="B429">
        <v>1</v>
      </c>
      <c r="C429">
        <v>30194</v>
      </c>
      <c r="D429">
        <v>32467</v>
      </c>
      <c r="E429" t="s">
        <v>21</v>
      </c>
      <c r="F429" t="s">
        <v>22</v>
      </c>
      <c r="G429">
        <v>11259</v>
      </c>
      <c r="H429">
        <v>13303</v>
      </c>
      <c r="I429" t="s">
        <v>23</v>
      </c>
      <c r="J429" t="s">
        <v>26</v>
      </c>
      <c r="K429">
        <v>1121</v>
      </c>
      <c r="L429">
        <v>240</v>
      </c>
      <c r="M429">
        <v>224.23</v>
      </c>
      <c r="N429" t="s">
        <v>25</v>
      </c>
      <c r="O429">
        <v>0.9819</v>
      </c>
      <c r="P429">
        <v>222.93</v>
      </c>
      <c r="Q429" t="s">
        <v>25</v>
      </c>
      <c r="R429">
        <v>0.9819</v>
      </c>
      <c r="S429">
        <v>222.93</v>
      </c>
    </row>
    <row r="430" spans="1:19" ht="12" customHeight="1" x14ac:dyDescent="0.3">
      <c r="A430">
        <v>2021</v>
      </c>
      <c r="B430">
        <v>1</v>
      </c>
      <c r="C430">
        <v>30194</v>
      </c>
      <c r="D430">
        <v>32467</v>
      </c>
      <c r="E430" t="s">
        <v>21</v>
      </c>
      <c r="F430" t="s">
        <v>22</v>
      </c>
      <c r="G430">
        <v>11298</v>
      </c>
      <c r="H430">
        <v>11697</v>
      </c>
      <c r="I430" t="s">
        <v>27</v>
      </c>
      <c r="J430" t="s">
        <v>24</v>
      </c>
      <c r="K430">
        <v>1121</v>
      </c>
      <c r="L430">
        <v>1023</v>
      </c>
      <c r="M430">
        <v>231.13</v>
      </c>
      <c r="N430" t="s">
        <v>28</v>
      </c>
      <c r="O430">
        <v>0.54339999999999999</v>
      </c>
      <c r="P430">
        <v>305.20999999999998</v>
      </c>
      <c r="Q430" t="s">
        <v>29</v>
      </c>
      <c r="R430">
        <v>0.4148</v>
      </c>
      <c r="S430">
        <v>126.8</v>
      </c>
    </row>
    <row r="431" spans="1:19" ht="12" customHeight="1" x14ac:dyDescent="0.3">
      <c r="A431">
        <v>2021</v>
      </c>
      <c r="B431">
        <v>1</v>
      </c>
      <c r="C431">
        <v>30194</v>
      </c>
      <c r="D431">
        <v>32467</v>
      </c>
      <c r="E431" t="s">
        <v>21</v>
      </c>
      <c r="F431" t="s">
        <v>22</v>
      </c>
      <c r="G431">
        <v>11298</v>
      </c>
      <c r="H431">
        <v>13303</v>
      </c>
      <c r="I431" t="s">
        <v>27</v>
      </c>
      <c r="J431" t="s">
        <v>26</v>
      </c>
      <c r="K431">
        <v>1121</v>
      </c>
      <c r="L431">
        <v>1037</v>
      </c>
      <c r="M431">
        <v>304.52999999999997</v>
      </c>
      <c r="N431" t="s">
        <v>28</v>
      </c>
      <c r="O431">
        <v>0.7329</v>
      </c>
      <c r="P431">
        <v>359.33</v>
      </c>
      <c r="Q431" t="s">
        <v>29</v>
      </c>
      <c r="R431">
        <v>0.2152</v>
      </c>
      <c r="S431">
        <v>121.3</v>
      </c>
    </row>
    <row r="432" spans="1:19" ht="12" customHeight="1" x14ac:dyDescent="0.3">
      <c r="A432">
        <v>2021</v>
      </c>
      <c r="B432">
        <v>2</v>
      </c>
      <c r="C432">
        <v>30194</v>
      </c>
      <c r="D432">
        <v>32467</v>
      </c>
      <c r="E432" t="s">
        <v>21</v>
      </c>
      <c r="F432" t="s">
        <v>22</v>
      </c>
      <c r="G432">
        <v>11259</v>
      </c>
      <c r="H432">
        <v>11697</v>
      </c>
      <c r="I432" t="s">
        <v>23</v>
      </c>
      <c r="J432" t="s">
        <v>24</v>
      </c>
      <c r="K432">
        <v>1121</v>
      </c>
      <c r="L432">
        <v>285</v>
      </c>
      <c r="M432">
        <v>216.68</v>
      </c>
      <c r="N432" t="s">
        <v>25</v>
      </c>
      <c r="O432">
        <v>0.98150000000000004</v>
      </c>
      <c r="P432">
        <v>216.37</v>
      </c>
      <c r="Q432" t="s">
        <v>25</v>
      </c>
      <c r="R432">
        <v>0.98150000000000004</v>
      </c>
      <c r="S432">
        <v>216.37</v>
      </c>
    </row>
    <row r="433" spans="1:19" ht="12" customHeight="1" x14ac:dyDescent="0.3">
      <c r="A433">
        <v>2021</v>
      </c>
      <c r="B433">
        <v>2</v>
      </c>
      <c r="C433">
        <v>30194</v>
      </c>
      <c r="D433">
        <v>32467</v>
      </c>
      <c r="E433" t="s">
        <v>21</v>
      </c>
      <c r="F433" t="s">
        <v>22</v>
      </c>
      <c r="G433">
        <v>11259</v>
      </c>
      <c r="H433">
        <v>13303</v>
      </c>
      <c r="I433" t="s">
        <v>23</v>
      </c>
      <c r="J433" t="s">
        <v>26</v>
      </c>
      <c r="K433">
        <v>1121</v>
      </c>
      <c r="L433">
        <v>204</v>
      </c>
      <c r="M433">
        <v>236.68</v>
      </c>
      <c r="N433" t="s">
        <v>25</v>
      </c>
      <c r="O433">
        <v>0.97470000000000001</v>
      </c>
      <c r="P433">
        <v>234.67</v>
      </c>
      <c r="Q433" t="s">
        <v>25</v>
      </c>
      <c r="R433">
        <v>0.97470000000000001</v>
      </c>
      <c r="S433">
        <v>234.67</v>
      </c>
    </row>
    <row r="434" spans="1:19" ht="12" customHeight="1" x14ac:dyDescent="0.3">
      <c r="A434">
        <v>2021</v>
      </c>
      <c r="B434">
        <v>2</v>
      </c>
      <c r="C434">
        <v>30194</v>
      </c>
      <c r="D434">
        <v>32467</v>
      </c>
      <c r="E434" t="s">
        <v>21</v>
      </c>
      <c r="F434" t="s">
        <v>22</v>
      </c>
      <c r="G434">
        <v>11298</v>
      </c>
      <c r="H434">
        <v>11697</v>
      </c>
      <c r="I434" t="s">
        <v>27</v>
      </c>
      <c r="J434" t="s">
        <v>24</v>
      </c>
      <c r="K434">
        <v>1121</v>
      </c>
      <c r="L434">
        <v>1279</v>
      </c>
      <c r="M434">
        <v>199.1</v>
      </c>
      <c r="N434" t="s">
        <v>28</v>
      </c>
      <c r="O434">
        <v>0.52010000000000001</v>
      </c>
      <c r="P434">
        <v>269.2</v>
      </c>
      <c r="Q434" t="s">
        <v>29</v>
      </c>
      <c r="R434">
        <v>0.44850000000000001</v>
      </c>
      <c r="S434">
        <v>113.77</v>
      </c>
    </row>
    <row r="435" spans="1:19" ht="12" customHeight="1" x14ac:dyDescent="0.3">
      <c r="A435">
        <v>2021</v>
      </c>
      <c r="B435">
        <v>2</v>
      </c>
      <c r="C435">
        <v>30194</v>
      </c>
      <c r="D435">
        <v>32467</v>
      </c>
      <c r="E435" t="s">
        <v>21</v>
      </c>
      <c r="F435" t="s">
        <v>22</v>
      </c>
      <c r="G435">
        <v>11298</v>
      </c>
      <c r="H435">
        <v>13303</v>
      </c>
      <c r="I435" t="s">
        <v>27</v>
      </c>
      <c r="J435" t="s">
        <v>26</v>
      </c>
      <c r="K435">
        <v>1121</v>
      </c>
      <c r="L435">
        <v>1199</v>
      </c>
      <c r="M435">
        <v>268.70999999999998</v>
      </c>
      <c r="N435" t="s">
        <v>28</v>
      </c>
      <c r="O435">
        <v>0.6583</v>
      </c>
      <c r="P435">
        <v>341.7</v>
      </c>
      <c r="Q435" t="s">
        <v>29</v>
      </c>
      <c r="R435">
        <v>0.2316</v>
      </c>
      <c r="S435">
        <v>113.97</v>
      </c>
    </row>
    <row r="436" spans="1:19" ht="12" customHeight="1" x14ac:dyDescent="0.3">
      <c r="A436">
        <v>2021</v>
      </c>
      <c r="B436">
        <v>3</v>
      </c>
      <c r="C436">
        <v>30194</v>
      </c>
      <c r="D436">
        <v>32467</v>
      </c>
      <c r="E436" t="s">
        <v>21</v>
      </c>
      <c r="F436" t="s">
        <v>22</v>
      </c>
      <c r="G436">
        <v>11259</v>
      </c>
      <c r="H436">
        <v>11697</v>
      </c>
      <c r="I436" t="s">
        <v>23</v>
      </c>
      <c r="J436" t="s">
        <v>24</v>
      </c>
      <c r="K436">
        <v>1121</v>
      </c>
      <c r="L436">
        <v>251</v>
      </c>
      <c r="M436">
        <v>216.63</v>
      </c>
      <c r="N436" t="s">
        <v>25</v>
      </c>
      <c r="O436">
        <v>0.98140000000000005</v>
      </c>
      <c r="P436">
        <v>214.6</v>
      </c>
      <c r="Q436" t="s">
        <v>25</v>
      </c>
      <c r="R436">
        <v>0.98140000000000005</v>
      </c>
      <c r="S436">
        <v>214.6</v>
      </c>
    </row>
    <row r="437" spans="1:19" ht="12" customHeight="1" x14ac:dyDescent="0.3">
      <c r="A437">
        <v>2021</v>
      </c>
      <c r="B437">
        <v>3</v>
      </c>
      <c r="C437">
        <v>30194</v>
      </c>
      <c r="D437">
        <v>32467</v>
      </c>
      <c r="E437" t="s">
        <v>21</v>
      </c>
      <c r="F437" t="s">
        <v>22</v>
      </c>
      <c r="G437">
        <v>11259</v>
      </c>
      <c r="H437">
        <v>13303</v>
      </c>
      <c r="I437" t="s">
        <v>23</v>
      </c>
      <c r="J437" t="s">
        <v>26</v>
      </c>
      <c r="K437">
        <v>1121</v>
      </c>
      <c r="L437">
        <v>157</v>
      </c>
      <c r="M437">
        <v>233.76</v>
      </c>
      <c r="N437" t="s">
        <v>25</v>
      </c>
      <c r="O437">
        <v>0.96189999999999998</v>
      </c>
      <c r="P437">
        <v>231.27</v>
      </c>
      <c r="Q437" t="s">
        <v>25</v>
      </c>
      <c r="R437">
        <v>0.96189999999999998</v>
      </c>
      <c r="S437">
        <v>231.27</v>
      </c>
    </row>
    <row r="438" spans="1:19" ht="12" customHeight="1" x14ac:dyDescent="0.3">
      <c r="A438">
        <v>2021</v>
      </c>
      <c r="B438">
        <v>3</v>
      </c>
      <c r="C438">
        <v>30194</v>
      </c>
      <c r="D438">
        <v>32467</v>
      </c>
      <c r="E438" t="s">
        <v>21</v>
      </c>
      <c r="F438" t="s">
        <v>22</v>
      </c>
      <c r="G438">
        <v>11298</v>
      </c>
      <c r="H438">
        <v>11697</v>
      </c>
      <c r="I438" t="s">
        <v>27</v>
      </c>
      <c r="J438" t="s">
        <v>24</v>
      </c>
      <c r="K438">
        <v>1121</v>
      </c>
      <c r="L438">
        <v>985</v>
      </c>
      <c r="M438">
        <v>204.76</v>
      </c>
      <c r="N438" t="s">
        <v>28</v>
      </c>
      <c r="O438">
        <v>0.54049999999999998</v>
      </c>
      <c r="P438">
        <v>273.42</v>
      </c>
      <c r="Q438" t="s">
        <v>29</v>
      </c>
      <c r="R438">
        <v>0.43070000000000003</v>
      </c>
      <c r="S438">
        <v>115.13</v>
      </c>
    </row>
    <row r="439" spans="1:19" ht="12" customHeight="1" x14ac:dyDescent="0.3">
      <c r="A439">
        <v>2021</v>
      </c>
      <c r="B439">
        <v>3</v>
      </c>
      <c r="C439">
        <v>30194</v>
      </c>
      <c r="D439">
        <v>32467</v>
      </c>
      <c r="E439" t="s">
        <v>21</v>
      </c>
      <c r="F439" t="s">
        <v>22</v>
      </c>
      <c r="G439">
        <v>11298</v>
      </c>
      <c r="H439">
        <v>13303</v>
      </c>
      <c r="I439" t="s">
        <v>27</v>
      </c>
      <c r="J439" t="s">
        <v>26</v>
      </c>
      <c r="K439">
        <v>1121</v>
      </c>
      <c r="L439">
        <v>1090</v>
      </c>
      <c r="M439">
        <v>251.23</v>
      </c>
      <c r="N439" t="s">
        <v>28</v>
      </c>
      <c r="O439">
        <v>0.64219999999999999</v>
      </c>
      <c r="P439">
        <v>320.64999999999998</v>
      </c>
      <c r="Q439" t="s">
        <v>30</v>
      </c>
      <c r="R439">
        <v>0.1196</v>
      </c>
      <c r="S439">
        <v>102.17</v>
      </c>
    </row>
    <row r="440" spans="1:19" ht="12" customHeight="1" x14ac:dyDescent="0.3">
      <c r="A440">
        <v>2021</v>
      </c>
      <c r="B440">
        <v>4</v>
      </c>
      <c r="C440">
        <v>30194</v>
      </c>
      <c r="D440">
        <v>32467</v>
      </c>
      <c r="E440" t="s">
        <v>21</v>
      </c>
      <c r="F440" t="s">
        <v>22</v>
      </c>
      <c r="G440">
        <v>11259</v>
      </c>
      <c r="H440">
        <v>11697</v>
      </c>
      <c r="I440" t="s">
        <v>23</v>
      </c>
      <c r="J440" t="s">
        <v>24</v>
      </c>
      <c r="K440">
        <v>1121</v>
      </c>
      <c r="L440">
        <v>257</v>
      </c>
      <c r="M440">
        <v>221.73</v>
      </c>
      <c r="N440" t="s">
        <v>25</v>
      </c>
      <c r="O440">
        <v>0.9839</v>
      </c>
      <c r="P440">
        <v>219.48</v>
      </c>
      <c r="Q440" t="s">
        <v>25</v>
      </c>
      <c r="R440">
        <v>0.9839</v>
      </c>
      <c r="S440">
        <v>219.48</v>
      </c>
    </row>
    <row r="441" spans="1:19" ht="12" customHeight="1" x14ac:dyDescent="0.3">
      <c r="A441">
        <v>2021</v>
      </c>
      <c r="B441">
        <v>4</v>
      </c>
      <c r="C441">
        <v>30194</v>
      </c>
      <c r="D441">
        <v>32467</v>
      </c>
      <c r="E441" t="s">
        <v>21</v>
      </c>
      <c r="F441" t="s">
        <v>22</v>
      </c>
      <c r="G441">
        <v>11259</v>
      </c>
      <c r="H441">
        <v>13303</v>
      </c>
      <c r="I441" t="s">
        <v>23</v>
      </c>
      <c r="J441" t="s">
        <v>26</v>
      </c>
      <c r="K441">
        <v>1121</v>
      </c>
      <c r="L441">
        <v>135</v>
      </c>
      <c r="M441">
        <v>234.66</v>
      </c>
      <c r="N441" t="s">
        <v>25</v>
      </c>
      <c r="O441">
        <v>0.9758</v>
      </c>
      <c r="P441">
        <v>233.12</v>
      </c>
      <c r="Q441" t="s">
        <v>25</v>
      </c>
      <c r="R441">
        <v>0.9758</v>
      </c>
      <c r="S441">
        <v>233.12</v>
      </c>
    </row>
    <row r="442" spans="1:19" ht="12" customHeight="1" x14ac:dyDescent="0.3">
      <c r="A442">
        <v>2021</v>
      </c>
      <c r="B442">
        <v>4</v>
      </c>
      <c r="C442">
        <v>30194</v>
      </c>
      <c r="D442">
        <v>32467</v>
      </c>
      <c r="E442" t="s">
        <v>21</v>
      </c>
      <c r="F442" t="s">
        <v>22</v>
      </c>
      <c r="G442">
        <v>11298</v>
      </c>
      <c r="H442">
        <v>11697</v>
      </c>
      <c r="I442" t="s">
        <v>27</v>
      </c>
      <c r="J442" t="s">
        <v>24</v>
      </c>
      <c r="K442">
        <v>1121</v>
      </c>
      <c r="L442">
        <v>1078</v>
      </c>
      <c r="M442">
        <v>213.3</v>
      </c>
      <c r="N442" t="s">
        <v>28</v>
      </c>
      <c r="O442">
        <v>0.49309999999999998</v>
      </c>
      <c r="P442">
        <v>306.39</v>
      </c>
      <c r="Q442" t="s">
        <v>29</v>
      </c>
      <c r="R442">
        <v>0.47260000000000002</v>
      </c>
      <c r="S442">
        <v>109.01</v>
      </c>
    </row>
    <row r="443" spans="1:19" ht="12" customHeight="1" x14ac:dyDescent="0.3">
      <c r="A443">
        <v>2021</v>
      </c>
      <c r="B443">
        <v>4</v>
      </c>
      <c r="C443">
        <v>30194</v>
      </c>
      <c r="D443">
        <v>32467</v>
      </c>
      <c r="E443" t="s">
        <v>21</v>
      </c>
      <c r="F443" t="s">
        <v>22</v>
      </c>
      <c r="G443">
        <v>11298</v>
      </c>
      <c r="H443">
        <v>13303</v>
      </c>
      <c r="I443" t="s">
        <v>27</v>
      </c>
      <c r="J443" t="s">
        <v>26</v>
      </c>
      <c r="K443">
        <v>1121</v>
      </c>
      <c r="L443">
        <v>1265</v>
      </c>
      <c r="M443">
        <v>255.12</v>
      </c>
      <c r="N443" t="s">
        <v>28</v>
      </c>
      <c r="O443">
        <v>0.62229999999999996</v>
      </c>
      <c r="P443">
        <v>335.65</v>
      </c>
      <c r="Q443" t="s">
        <v>29</v>
      </c>
      <c r="R443">
        <v>0.27129999999999999</v>
      </c>
      <c r="S443">
        <v>107.45</v>
      </c>
    </row>
    <row r="444" spans="1:19" ht="12" customHeight="1" x14ac:dyDescent="0.3">
      <c r="A444">
        <v>2021</v>
      </c>
      <c r="B444">
        <v>1</v>
      </c>
      <c r="C444">
        <v>30194</v>
      </c>
      <c r="D444">
        <v>32467</v>
      </c>
      <c r="E444" t="s">
        <v>21</v>
      </c>
      <c r="F444" t="s">
        <v>22</v>
      </c>
      <c r="G444">
        <v>11259</v>
      </c>
      <c r="H444">
        <v>11697</v>
      </c>
      <c r="I444" t="s">
        <v>23</v>
      </c>
      <c r="J444" t="s">
        <v>24</v>
      </c>
      <c r="K444">
        <v>1121</v>
      </c>
      <c r="L444">
        <v>284</v>
      </c>
      <c r="M444">
        <v>214.44</v>
      </c>
      <c r="N444" t="s">
        <v>25</v>
      </c>
      <c r="O444">
        <v>0.98180000000000001</v>
      </c>
      <c r="P444">
        <v>211.8</v>
      </c>
      <c r="Q444" t="s">
        <v>25</v>
      </c>
      <c r="R444">
        <v>0.98180000000000001</v>
      </c>
      <c r="S444">
        <v>211.8</v>
      </c>
    </row>
    <row r="445" spans="1:19" ht="12" customHeight="1" x14ac:dyDescent="0.3">
      <c r="A445">
        <v>2021</v>
      </c>
      <c r="B445">
        <v>1</v>
      </c>
      <c r="C445">
        <v>30194</v>
      </c>
      <c r="D445">
        <v>32467</v>
      </c>
      <c r="E445" t="s">
        <v>21</v>
      </c>
      <c r="F445" t="s">
        <v>22</v>
      </c>
      <c r="G445">
        <v>11259</v>
      </c>
      <c r="H445">
        <v>13303</v>
      </c>
      <c r="I445" t="s">
        <v>23</v>
      </c>
      <c r="J445" t="s">
        <v>26</v>
      </c>
      <c r="K445">
        <v>1121</v>
      </c>
      <c r="L445">
        <v>185</v>
      </c>
      <c r="M445">
        <v>228.11</v>
      </c>
      <c r="N445" t="s">
        <v>25</v>
      </c>
      <c r="O445">
        <v>0.9798</v>
      </c>
      <c r="P445">
        <v>227.53</v>
      </c>
      <c r="Q445" t="s">
        <v>25</v>
      </c>
      <c r="R445">
        <v>0.9798</v>
      </c>
      <c r="S445">
        <v>227.53</v>
      </c>
    </row>
    <row r="446" spans="1:19" ht="12" customHeight="1" x14ac:dyDescent="0.3">
      <c r="A446">
        <v>2021</v>
      </c>
      <c r="B446">
        <v>1</v>
      </c>
      <c r="C446">
        <v>30194</v>
      </c>
      <c r="D446">
        <v>32467</v>
      </c>
      <c r="E446" t="s">
        <v>21</v>
      </c>
      <c r="F446" t="s">
        <v>22</v>
      </c>
      <c r="G446">
        <v>11298</v>
      </c>
      <c r="H446">
        <v>11697</v>
      </c>
      <c r="I446" t="s">
        <v>27</v>
      </c>
      <c r="J446" t="s">
        <v>24</v>
      </c>
      <c r="K446">
        <v>1121</v>
      </c>
      <c r="L446">
        <v>1088</v>
      </c>
      <c r="M446">
        <v>217.3</v>
      </c>
      <c r="N446" t="s">
        <v>28</v>
      </c>
      <c r="O446">
        <v>0.56520000000000004</v>
      </c>
      <c r="P446">
        <v>289.32</v>
      </c>
      <c r="Q446" t="s">
        <v>29</v>
      </c>
      <c r="R446">
        <v>0.40360000000000001</v>
      </c>
      <c r="S446">
        <v>109.28</v>
      </c>
    </row>
    <row r="447" spans="1:19" ht="12" customHeight="1" x14ac:dyDescent="0.3">
      <c r="A447">
        <v>2021</v>
      </c>
      <c r="B447">
        <v>1</v>
      </c>
      <c r="C447">
        <v>30194</v>
      </c>
      <c r="D447">
        <v>32467</v>
      </c>
      <c r="E447" t="s">
        <v>21</v>
      </c>
      <c r="F447" t="s">
        <v>22</v>
      </c>
      <c r="G447">
        <v>11298</v>
      </c>
      <c r="H447">
        <v>13303</v>
      </c>
      <c r="I447" t="s">
        <v>27</v>
      </c>
      <c r="J447" t="s">
        <v>26</v>
      </c>
      <c r="K447">
        <v>1121</v>
      </c>
      <c r="L447">
        <v>1244</v>
      </c>
      <c r="M447">
        <v>267.63</v>
      </c>
      <c r="N447" t="s">
        <v>28</v>
      </c>
      <c r="O447">
        <v>0.69920000000000004</v>
      </c>
      <c r="P447">
        <v>328.27</v>
      </c>
      <c r="Q447" t="s">
        <v>29</v>
      </c>
      <c r="R447">
        <v>0.215</v>
      </c>
      <c r="S447">
        <v>106.85</v>
      </c>
    </row>
    <row r="448" spans="1:19" ht="12" customHeight="1" x14ac:dyDescent="0.3">
      <c r="A448">
        <v>2021</v>
      </c>
      <c r="B448">
        <v>2</v>
      </c>
      <c r="C448">
        <v>30194</v>
      </c>
      <c r="D448">
        <v>32467</v>
      </c>
      <c r="E448" t="s">
        <v>21</v>
      </c>
      <c r="F448" t="s">
        <v>22</v>
      </c>
      <c r="G448">
        <v>11259</v>
      </c>
      <c r="H448">
        <v>11697</v>
      </c>
      <c r="I448" t="s">
        <v>23</v>
      </c>
      <c r="J448" t="s">
        <v>24</v>
      </c>
      <c r="K448">
        <v>1121</v>
      </c>
      <c r="L448">
        <v>341</v>
      </c>
      <c r="M448">
        <v>204.95</v>
      </c>
      <c r="N448" t="s">
        <v>25</v>
      </c>
      <c r="O448">
        <v>0.97970000000000002</v>
      </c>
      <c r="P448">
        <v>202.81</v>
      </c>
      <c r="Q448" t="s">
        <v>25</v>
      </c>
      <c r="R448">
        <v>0.97970000000000002</v>
      </c>
      <c r="S448">
        <v>202.81</v>
      </c>
    </row>
    <row r="449" spans="1:19" ht="12" customHeight="1" x14ac:dyDescent="0.3">
      <c r="A449">
        <v>2021</v>
      </c>
      <c r="B449">
        <v>2</v>
      </c>
      <c r="C449">
        <v>30194</v>
      </c>
      <c r="D449">
        <v>32467</v>
      </c>
      <c r="E449" t="s">
        <v>21</v>
      </c>
      <c r="F449" t="s">
        <v>22</v>
      </c>
      <c r="G449">
        <v>11259</v>
      </c>
      <c r="H449">
        <v>13303</v>
      </c>
      <c r="I449" t="s">
        <v>23</v>
      </c>
      <c r="J449" t="s">
        <v>26</v>
      </c>
      <c r="K449">
        <v>1121</v>
      </c>
      <c r="L449">
        <v>238</v>
      </c>
      <c r="M449">
        <v>219.68</v>
      </c>
      <c r="N449" t="s">
        <v>25</v>
      </c>
      <c r="O449">
        <v>0.97040000000000004</v>
      </c>
      <c r="P449">
        <v>218.96</v>
      </c>
      <c r="Q449" t="s">
        <v>25</v>
      </c>
      <c r="R449">
        <v>0.97040000000000004</v>
      </c>
      <c r="S449">
        <v>218.96</v>
      </c>
    </row>
    <row r="450" spans="1:19" ht="12" customHeight="1" x14ac:dyDescent="0.3">
      <c r="A450">
        <v>2021</v>
      </c>
      <c r="B450">
        <v>2</v>
      </c>
      <c r="C450">
        <v>30194</v>
      </c>
      <c r="D450">
        <v>32467</v>
      </c>
      <c r="E450" t="s">
        <v>21</v>
      </c>
      <c r="F450" t="s">
        <v>22</v>
      </c>
      <c r="G450">
        <v>11298</v>
      </c>
      <c r="H450">
        <v>11697</v>
      </c>
      <c r="I450" t="s">
        <v>27</v>
      </c>
      <c r="J450" t="s">
        <v>24</v>
      </c>
      <c r="K450">
        <v>1121</v>
      </c>
      <c r="L450">
        <v>1238</v>
      </c>
      <c r="M450">
        <v>196.1</v>
      </c>
      <c r="N450" t="s">
        <v>28</v>
      </c>
      <c r="O450">
        <v>0.55020000000000002</v>
      </c>
      <c r="P450">
        <v>263.19</v>
      </c>
      <c r="Q450" t="s">
        <v>29</v>
      </c>
      <c r="R450">
        <v>0.42230000000000001</v>
      </c>
      <c r="S450">
        <v>99.97</v>
      </c>
    </row>
    <row r="451" spans="1:19" ht="12" customHeight="1" x14ac:dyDescent="0.3">
      <c r="A451">
        <v>2021</v>
      </c>
      <c r="B451">
        <v>2</v>
      </c>
      <c r="C451">
        <v>30194</v>
      </c>
      <c r="D451">
        <v>32467</v>
      </c>
      <c r="E451" t="s">
        <v>21</v>
      </c>
      <c r="F451" t="s">
        <v>22</v>
      </c>
      <c r="G451">
        <v>11298</v>
      </c>
      <c r="H451">
        <v>13303</v>
      </c>
      <c r="I451" t="s">
        <v>27</v>
      </c>
      <c r="J451" t="s">
        <v>26</v>
      </c>
      <c r="K451">
        <v>1121</v>
      </c>
      <c r="L451">
        <v>1380</v>
      </c>
      <c r="M451">
        <v>243.55</v>
      </c>
      <c r="N451" t="s">
        <v>28</v>
      </c>
      <c r="O451">
        <v>0.62980000000000003</v>
      </c>
      <c r="P451">
        <v>317.68</v>
      </c>
      <c r="Q451" t="s">
        <v>29</v>
      </c>
      <c r="R451">
        <v>0.29409999999999997</v>
      </c>
      <c r="S451">
        <v>101.71</v>
      </c>
    </row>
    <row r="452" spans="1:19" ht="12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48BD-9646-4DAB-9652-B27879D1B42B}">
  <dimension ref="A1:U235"/>
  <sheetViews>
    <sheetView topLeftCell="E1" zoomScale="80" zoomScaleNormal="80" workbookViewId="0">
      <selection activeCell="T4" sqref="T4"/>
    </sheetView>
  </sheetViews>
  <sheetFormatPr defaultRowHeight="14.4" x14ac:dyDescent="0.3"/>
  <cols>
    <col min="1" max="1" width="7.109375" bestFit="1" customWidth="1"/>
    <col min="2" max="2" width="9.6640625" bestFit="1" customWidth="1"/>
    <col min="3" max="4" width="15.88671875" bestFit="1" customWidth="1"/>
    <col min="5" max="5" width="25.77734375" bestFit="1" customWidth="1"/>
    <col min="6" max="6" width="18.88671875" bestFit="1" customWidth="1"/>
    <col min="7" max="8" width="12.6640625" bestFit="1" customWidth="1"/>
    <col min="9" max="10" width="11.109375" bestFit="1" customWidth="1"/>
    <col min="11" max="11" width="10.21875" bestFit="1" customWidth="1"/>
    <col min="12" max="12" width="13.33203125" bestFit="1" customWidth="1"/>
    <col min="13" max="13" width="7.77734375" bestFit="1" customWidth="1"/>
    <col min="14" max="14" width="11.21875" bestFit="1" customWidth="1"/>
    <col min="15" max="15" width="11.109375" bestFit="1" customWidth="1"/>
    <col min="16" max="16" width="9.109375" bestFit="1" customWidth="1"/>
    <col min="17" max="17" width="12.6640625" bestFit="1" customWidth="1"/>
    <col min="18" max="18" width="8.109375" bestFit="1" customWidth="1"/>
    <col min="19" max="19" width="10.5546875" bestFit="1" customWidth="1"/>
    <col min="20" max="20" width="57.6640625" style="1" customWidth="1"/>
    <col min="21" max="21" width="22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</row>
    <row r="2" spans="1:21" ht="28.8" x14ac:dyDescent="0.3">
      <c r="A2">
        <v>2021</v>
      </c>
      <c r="B2">
        <v>3</v>
      </c>
      <c r="C2">
        <v>32467</v>
      </c>
      <c r="D2">
        <v>33342</v>
      </c>
      <c r="E2" t="s">
        <v>22</v>
      </c>
      <c r="F2" t="s">
        <v>21</v>
      </c>
      <c r="G2">
        <v>11697</v>
      </c>
      <c r="H2">
        <v>11259</v>
      </c>
      <c r="I2" t="s">
        <v>24</v>
      </c>
      <c r="J2" t="s">
        <v>23</v>
      </c>
      <c r="K2">
        <v>1121</v>
      </c>
      <c r="L2">
        <v>139</v>
      </c>
      <c r="M2">
        <v>188.17</v>
      </c>
      <c r="N2" t="s">
        <v>25</v>
      </c>
      <c r="O2">
        <v>0.67079999999999995</v>
      </c>
      <c r="P2">
        <v>176.36</v>
      </c>
      <c r="Q2" t="s">
        <v>25</v>
      </c>
      <c r="R2">
        <v>0.67079999999999995</v>
      </c>
      <c r="S2">
        <v>176.36</v>
      </c>
      <c r="T2" s="1" t="s">
        <v>34</v>
      </c>
      <c r="U2" s="1" t="s">
        <v>33</v>
      </c>
    </row>
    <row r="3" spans="1:21" ht="28.8" x14ac:dyDescent="0.3">
      <c r="A3">
        <v>2021</v>
      </c>
      <c r="B3">
        <v>3</v>
      </c>
      <c r="C3">
        <v>32467</v>
      </c>
      <c r="D3">
        <v>33342</v>
      </c>
      <c r="E3" t="s">
        <v>22</v>
      </c>
      <c r="F3" t="s">
        <v>21</v>
      </c>
      <c r="G3">
        <v>13303</v>
      </c>
      <c r="H3">
        <v>11259</v>
      </c>
      <c r="I3" t="s">
        <v>26</v>
      </c>
      <c r="J3" t="s">
        <v>23</v>
      </c>
      <c r="K3">
        <v>1121</v>
      </c>
      <c r="L3">
        <v>75</v>
      </c>
      <c r="M3">
        <v>202.96</v>
      </c>
      <c r="N3" t="s">
        <v>31</v>
      </c>
      <c r="O3">
        <v>0.3599</v>
      </c>
      <c r="P3">
        <v>215.36</v>
      </c>
      <c r="Q3" t="s">
        <v>25</v>
      </c>
      <c r="R3">
        <v>0.21340000000000001</v>
      </c>
      <c r="S3">
        <v>161.66</v>
      </c>
      <c r="T3" s="1" t="s">
        <v>34</v>
      </c>
      <c r="U3" s="1" t="s">
        <v>33</v>
      </c>
    </row>
    <row r="4" spans="1:21" ht="28.8" x14ac:dyDescent="0.3">
      <c r="A4">
        <v>2021</v>
      </c>
      <c r="B4">
        <v>4</v>
      </c>
      <c r="C4">
        <v>32467</v>
      </c>
      <c r="D4">
        <v>33342</v>
      </c>
      <c r="E4" t="s">
        <v>22</v>
      </c>
      <c r="F4" t="s">
        <v>21</v>
      </c>
      <c r="G4">
        <v>11697</v>
      </c>
      <c r="H4">
        <v>11259</v>
      </c>
      <c r="I4" t="s">
        <v>24</v>
      </c>
      <c r="J4" t="s">
        <v>23</v>
      </c>
      <c r="K4">
        <v>1121</v>
      </c>
      <c r="L4">
        <v>217</v>
      </c>
      <c r="M4">
        <v>178.6</v>
      </c>
      <c r="N4" t="s">
        <v>25</v>
      </c>
      <c r="O4">
        <v>0.66969999999999996</v>
      </c>
      <c r="P4">
        <v>174.58</v>
      </c>
      <c r="Q4" t="s">
        <v>29</v>
      </c>
      <c r="R4">
        <v>0.14560000000000001</v>
      </c>
      <c r="S4">
        <v>113.25</v>
      </c>
      <c r="T4" s="1" t="s">
        <v>34</v>
      </c>
      <c r="U4" s="1" t="s">
        <v>33</v>
      </c>
    </row>
    <row r="5" spans="1:21" ht="28.8" x14ac:dyDescent="0.3">
      <c r="A5">
        <v>2021</v>
      </c>
      <c r="B5">
        <v>4</v>
      </c>
      <c r="C5">
        <v>32467</v>
      </c>
      <c r="D5">
        <v>33342</v>
      </c>
      <c r="E5" t="s">
        <v>22</v>
      </c>
      <c r="F5" t="s">
        <v>21</v>
      </c>
      <c r="G5">
        <v>13303</v>
      </c>
      <c r="H5">
        <v>11259</v>
      </c>
      <c r="I5" t="s">
        <v>26</v>
      </c>
      <c r="J5" t="s">
        <v>23</v>
      </c>
      <c r="K5">
        <v>1121</v>
      </c>
      <c r="L5">
        <v>119</v>
      </c>
      <c r="M5">
        <v>214.98</v>
      </c>
      <c r="N5" t="s">
        <v>28</v>
      </c>
      <c r="O5">
        <v>0.44979999999999998</v>
      </c>
      <c r="P5">
        <v>217.75</v>
      </c>
      <c r="Q5" t="s">
        <v>25</v>
      </c>
      <c r="R5">
        <v>0.30570000000000003</v>
      </c>
      <c r="S5">
        <v>190.42</v>
      </c>
      <c r="T5" s="1" t="s">
        <v>34</v>
      </c>
      <c r="U5" s="1" t="s">
        <v>33</v>
      </c>
    </row>
    <row r="6" spans="1:21" ht="28.8" x14ac:dyDescent="0.3">
      <c r="A6">
        <v>2021</v>
      </c>
      <c r="B6">
        <v>1</v>
      </c>
      <c r="C6">
        <v>32467</v>
      </c>
      <c r="D6">
        <v>33342</v>
      </c>
      <c r="E6" t="s">
        <v>22</v>
      </c>
      <c r="F6" t="s">
        <v>21</v>
      </c>
      <c r="G6">
        <v>11697</v>
      </c>
      <c r="H6">
        <v>11259</v>
      </c>
      <c r="I6" t="s">
        <v>24</v>
      </c>
      <c r="J6" t="s">
        <v>23</v>
      </c>
      <c r="K6">
        <v>1121</v>
      </c>
      <c r="L6">
        <v>304</v>
      </c>
      <c r="M6">
        <v>203.62</v>
      </c>
      <c r="N6" t="s">
        <v>25</v>
      </c>
      <c r="O6">
        <v>0.57420000000000004</v>
      </c>
      <c r="P6">
        <v>214.97</v>
      </c>
      <c r="Q6" t="s">
        <v>29</v>
      </c>
      <c r="R6">
        <v>0.2427</v>
      </c>
      <c r="S6">
        <v>130.97</v>
      </c>
      <c r="T6" s="1" t="s">
        <v>34</v>
      </c>
      <c r="U6" s="1" t="s">
        <v>33</v>
      </c>
    </row>
    <row r="7" spans="1:21" ht="28.8" x14ac:dyDescent="0.3">
      <c r="A7">
        <v>2021</v>
      </c>
      <c r="B7">
        <v>1</v>
      </c>
      <c r="C7">
        <v>32467</v>
      </c>
      <c r="D7">
        <v>33342</v>
      </c>
      <c r="E7" t="s">
        <v>22</v>
      </c>
      <c r="F7" t="s">
        <v>21</v>
      </c>
      <c r="G7">
        <v>13303</v>
      </c>
      <c r="H7">
        <v>11259</v>
      </c>
      <c r="I7" t="s">
        <v>26</v>
      </c>
      <c r="J7" t="s">
        <v>23</v>
      </c>
      <c r="K7">
        <v>1121</v>
      </c>
      <c r="L7">
        <v>150</v>
      </c>
      <c r="M7">
        <v>221.78</v>
      </c>
      <c r="N7" t="s">
        <v>28</v>
      </c>
      <c r="O7">
        <v>0.47</v>
      </c>
      <c r="P7">
        <v>238.53</v>
      </c>
      <c r="Q7" t="s">
        <v>25</v>
      </c>
      <c r="R7">
        <v>0.23200000000000001</v>
      </c>
      <c r="S7">
        <v>157.04</v>
      </c>
      <c r="T7" s="1" t="s">
        <v>34</v>
      </c>
      <c r="U7" s="1" t="s">
        <v>33</v>
      </c>
    </row>
    <row r="8" spans="1:21" ht="28.8" x14ac:dyDescent="0.3">
      <c r="A8">
        <v>2021</v>
      </c>
      <c r="B8">
        <v>1</v>
      </c>
      <c r="C8">
        <v>32467</v>
      </c>
      <c r="D8">
        <v>33342</v>
      </c>
      <c r="E8" t="s">
        <v>22</v>
      </c>
      <c r="F8" t="s">
        <v>21</v>
      </c>
      <c r="G8">
        <v>13303</v>
      </c>
      <c r="H8">
        <v>11259</v>
      </c>
      <c r="I8" t="s">
        <v>26</v>
      </c>
      <c r="J8" t="s">
        <v>23</v>
      </c>
      <c r="K8">
        <v>1121</v>
      </c>
      <c r="L8">
        <v>192</v>
      </c>
      <c r="M8">
        <v>173.29</v>
      </c>
      <c r="N8" t="s">
        <v>36</v>
      </c>
      <c r="O8">
        <v>0.54</v>
      </c>
      <c r="P8">
        <v>155.88999999999999</v>
      </c>
      <c r="Q8" t="s">
        <v>36</v>
      </c>
      <c r="R8">
        <v>0.54</v>
      </c>
      <c r="S8">
        <v>155.88999999999999</v>
      </c>
      <c r="T8" s="1" t="s">
        <v>34</v>
      </c>
      <c r="U8" s="1" t="s">
        <v>33</v>
      </c>
    </row>
    <row r="9" spans="1:21" ht="28.8" x14ac:dyDescent="0.3">
      <c r="A9">
        <v>2021</v>
      </c>
      <c r="B9">
        <v>3</v>
      </c>
      <c r="C9">
        <v>32467</v>
      </c>
      <c r="D9">
        <v>33342</v>
      </c>
      <c r="E9" t="s">
        <v>22</v>
      </c>
      <c r="F9" t="s">
        <v>21</v>
      </c>
      <c r="G9">
        <v>13303</v>
      </c>
      <c r="H9">
        <v>11259</v>
      </c>
      <c r="I9" t="s">
        <v>26</v>
      </c>
      <c r="J9" t="s">
        <v>23</v>
      </c>
      <c r="K9">
        <v>1121</v>
      </c>
      <c r="L9">
        <v>37</v>
      </c>
      <c r="M9">
        <v>247.81</v>
      </c>
      <c r="N9" t="s">
        <v>31</v>
      </c>
      <c r="O9">
        <v>0.4</v>
      </c>
      <c r="P9">
        <v>271.95999999999998</v>
      </c>
      <c r="Q9" t="s">
        <v>37</v>
      </c>
      <c r="R9">
        <v>0.14000000000000001</v>
      </c>
      <c r="S9">
        <v>210.5</v>
      </c>
      <c r="T9" s="1" t="s">
        <v>34</v>
      </c>
      <c r="U9" s="1" t="s">
        <v>33</v>
      </c>
    </row>
    <row r="10" spans="1:21" ht="28.8" x14ac:dyDescent="0.3">
      <c r="A10">
        <v>2021</v>
      </c>
      <c r="B10">
        <v>1</v>
      </c>
      <c r="C10">
        <v>32467</v>
      </c>
      <c r="D10">
        <v>33342</v>
      </c>
      <c r="E10" t="s">
        <v>22</v>
      </c>
      <c r="F10" t="s">
        <v>21</v>
      </c>
      <c r="G10">
        <v>11697</v>
      </c>
      <c r="H10">
        <v>11259</v>
      </c>
      <c r="I10" t="s">
        <v>24</v>
      </c>
      <c r="J10" t="s">
        <v>23</v>
      </c>
      <c r="K10">
        <v>1121</v>
      </c>
      <c r="L10">
        <v>471</v>
      </c>
      <c r="M10">
        <v>147.72</v>
      </c>
      <c r="N10" t="s">
        <v>42</v>
      </c>
      <c r="O10">
        <v>0.69</v>
      </c>
      <c r="P10">
        <v>143.96</v>
      </c>
      <c r="Q10" t="s">
        <v>35</v>
      </c>
      <c r="R10">
        <v>0.03</v>
      </c>
      <c r="S10">
        <v>129.12</v>
      </c>
      <c r="T10" s="1" t="s">
        <v>34</v>
      </c>
      <c r="U10" s="1" t="s">
        <v>33</v>
      </c>
    </row>
    <row r="11" spans="1:21" ht="28.8" x14ac:dyDescent="0.3">
      <c r="A11">
        <v>2021</v>
      </c>
      <c r="B11">
        <v>4</v>
      </c>
      <c r="C11">
        <v>32467</v>
      </c>
      <c r="D11">
        <v>33342</v>
      </c>
      <c r="E11" t="s">
        <v>22</v>
      </c>
      <c r="F11" t="s">
        <v>21</v>
      </c>
      <c r="G11">
        <v>13303</v>
      </c>
      <c r="H11">
        <v>11259</v>
      </c>
      <c r="I11" t="s">
        <v>26</v>
      </c>
      <c r="J11" t="s">
        <v>23</v>
      </c>
      <c r="K11">
        <v>1121</v>
      </c>
      <c r="L11">
        <v>86</v>
      </c>
      <c r="M11">
        <v>180.42</v>
      </c>
      <c r="N11" t="s">
        <v>31</v>
      </c>
      <c r="O11">
        <v>0.66</v>
      </c>
      <c r="P11">
        <v>173.44</v>
      </c>
      <c r="Q11" t="s">
        <v>31</v>
      </c>
      <c r="R11">
        <v>0.66</v>
      </c>
      <c r="S11">
        <v>173.44</v>
      </c>
      <c r="T11" s="1" t="s">
        <v>34</v>
      </c>
      <c r="U11" s="1" t="s">
        <v>33</v>
      </c>
    </row>
    <row r="12" spans="1:21" ht="28.8" x14ac:dyDescent="0.3">
      <c r="A12">
        <v>2021</v>
      </c>
      <c r="B12">
        <v>2</v>
      </c>
      <c r="C12">
        <v>32467</v>
      </c>
      <c r="D12">
        <v>33342</v>
      </c>
      <c r="E12" t="s">
        <v>22</v>
      </c>
      <c r="F12" t="s">
        <v>21</v>
      </c>
      <c r="G12">
        <v>11697</v>
      </c>
      <c r="H12">
        <v>11259</v>
      </c>
      <c r="I12" t="s">
        <v>24</v>
      </c>
      <c r="J12" t="s">
        <v>23</v>
      </c>
      <c r="K12">
        <v>1121</v>
      </c>
      <c r="L12">
        <v>287</v>
      </c>
      <c r="M12">
        <v>137.65</v>
      </c>
      <c r="N12" t="s">
        <v>42</v>
      </c>
      <c r="O12">
        <v>0.64</v>
      </c>
      <c r="P12">
        <v>131.07</v>
      </c>
      <c r="Q12" t="s">
        <v>42</v>
      </c>
      <c r="R12">
        <v>0.64</v>
      </c>
      <c r="S12">
        <v>131.07</v>
      </c>
      <c r="T12" s="1" t="s">
        <v>34</v>
      </c>
      <c r="U12" s="1" t="s">
        <v>33</v>
      </c>
    </row>
    <row r="13" spans="1:21" ht="28.8" x14ac:dyDescent="0.3">
      <c r="A13">
        <v>2021</v>
      </c>
      <c r="B13">
        <v>3</v>
      </c>
      <c r="C13">
        <v>32467</v>
      </c>
      <c r="D13">
        <v>33342</v>
      </c>
      <c r="E13" t="s">
        <v>22</v>
      </c>
      <c r="F13" t="s">
        <v>21</v>
      </c>
      <c r="G13">
        <v>11697</v>
      </c>
      <c r="H13">
        <v>11259</v>
      </c>
      <c r="I13" t="s">
        <v>24</v>
      </c>
      <c r="J13" t="s">
        <v>23</v>
      </c>
      <c r="K13">
        <v>1121</v>
      </c>
      <c r="L13">
        <v>116</v>
      </c>
      <c r="M13">
        <v>139.41999999999999</v>
      </c>
      <c r="N13" t="s">
        <v>31</v>
      </c>
      <c r="O13">
        <v>0.45</v>
      </c>
      <c r="P13">
        <v>151.36000000000001</v>
      </c>
      <c r="Q13" t="s">
        <v>36</v>
      </c>
      <c r="R13">
        <v>0.13</v>
      </c>
      <c r="S13">
        <v>122.52</v>
      </c>
      <c r="T13" s="1" t="s">
        <v>34</v>
      </c>
      <c r="U13" s="1" t="s">
        <v>33</v>
      </c>
    </row>
    <row r="14" spans="1:21" ht="28.8" x14ac:dyDescent="0.3">
      <c r="A14">
        <v>2021</v>
      </c>
      <c r="B14">
        <v>2</v>
      </c>
      <c r="C14">
        <v>32467</v>
      </c>
      <c r="D14">
        <v>33342</v>
      </c>
      <c r="E14" t="s">
        <v>22</v>
      </c>
      <c r="F14" t="s">
        <v>21</v>
      </c>
      <c r="G14">
        <v>13303</v>
      </c>
      <c r="H14">
        <v>11259</v>
      </c>
      <c r="I14" t="s">
        <v>26</v>
      </c>
      <c r="J14" t="s">
        <v>23</v>
      </c>
      <c r="K14">
        <v>1121</v>
      </c>
      <c r="L14">
        <v>70</v>
      </c>
      <c r="M14">
        <v>194.01</v>
      </c>
      <c r="N14" t="s">
        <v>28</v>
      </c>
      <c r="O14">
        <v>0.24</v>
      </c>
      <c r="P14">
        <v>199.22</v>
      </c>
      <c r="Q14" t="s">
        <v>31</v>
      </c>
      <c r="R14">
        <v>0.23</v>
      </c>
      <c r="S14">
        <v>185.87</v>
      </c>
      <c r="T14" s="1" t="s">
        <v>34</v>
      </c>
      <c r="U14" s="1" t="s">
        <v>33</v>
      </c>
    </row>
    <row r="15" spans="1:21" ht="28.8" x14ac:dyDescent="0.3">
      <c r="A15">
        <v>2021</v>
      </c>
      <c r="B15">
        <v>2</v>
      </c>
      <c r="C15">
        <v>32467</v>
      </c>
      <c r="D15">
        <v>33342</v>
      </c>
      <c r="E15" t="s">
        <v>22</v>
      </c>
      <c r="F15" t="s">
        <v>21</v>
      </c>
      <c r="G15">
        <v>13303</v>
      </c>
      <c r="H15">
        <v>11259</v>
      </c>
      <c r="I15" t="s">
        <v>26</v>
      </c>
      <c r="J15" t="s">
        <v>23</v>
      </c>
      <c r="K15">
        <v>1121</v>
      </c>
      <c r="L15">
        <v>81</v>
      </c>
      <c r="M15">
        <v>201.69</v>
      </c>
      <c r="N15" t="s">
        <v>31</v>
      </c>
      <c r="O15">
        <v>0.28999999999999998</v>
      </c>
      <c r="P15">
        <v>177.57</v>
      </c>
      <c r="Q15" t="s">
        <v>35</v>
      </c>
      <c r="R15">
        <v>0.1</v>
      </c>
      <c r="S15">
        <v>121.69</v>
      </c>
      <c r="T15" s="1" t="s">
        <v>34</v>
      </c>
      <c r="U15" s="1" t="s">
        <v>33</v>
      </c>
    </row>
    <row r="16" spans="1:21" ht="28.8" x14ac:dyDescent="0.3">
      <c r="A16">
        <v>2021</v>
      </c>
      <c r="B16">
        <v>4</v>
      </c>
      <c r="C16">
        <v>32467</v>
      </c>
      <c r="D16">
        <v>33342</v>
      </c>
      <c r="E16" t="s">
        <v>22</v>
      </c>
      <c r="F16" t="s">
        <v>21</v>
      </c>
      <c r="G16">
        <v>11697</v>
      </c>
      <c r="H16">
        <v>11259</v>
      </c>
      <c r="I16" t="s">
        <v>24</v>
      </c>
      <c r="J16" t="s">
        <v>23</v>
      </c>
      <c r="K16">
        <v>1121</v>
      </c>
      <c r="L16">
        <v>336</v>
      </c>
      <c r="M16">
        <v>204.2</v>
      </c>
      <c r="N16" t="s">
        <v>25</v>
      </c>
      <c r="O16">
        <v>0.62</v>
      </c>
      <c r="P16">
        <v>199.38</v>
      </c>
      <c r="Q16" t="s">
        <v>25</v>
      </c>
      <c r="R16">
        <v>0.62</v>
      </c>
      <c r="S16">
        <v>199.38</v>
      </c>
      <c r="T16" s="1" t="s">
        <v>34</v>
      </c>
      <c r="U16" s="1" t="s">
        <v>33</v>
      </c>
    </row>
    <row r="17" spans="1:21" ht="28.8" x14ac:dyDescent="0.3">
      <c r="A17">
        <v>2021</v>
      </c>
      <c r="B17">
        <v>4</v>
      </c>
      <c r="C17">
        <v>32467</v>
      </c>
      <c r="D17">
        <v>33342</v>
      </c>
      <c r="E17" t="s">
        <v>22</v>
      </c>
      <c r="F17" t="s">
        <v>21</v>
      </c>
      <c r="G17">
        <v>13303</v>
      </c>
      <c r="H17">
        <v>11259</v>
      </c>
      <c r="I17" t="s">
        <v>26</v>
      </c>
      <c r="J17" t="s">
        <v>23</v>
      </c>
      <c r="K17">
        <v>1121</v>
      </c>
      <c r="L17">
        <v>189</v>
      </c>
      <c r="M17">
        <v>146.81</v>
      </c>
      <c r="N17" t="s">
        <v>36</v>
      </c>
      <c r="O17">
        <v>0.48</v>
      </c>
      <c r="P17">
        <v>134.31</v>
      </c>
      <c r="Q17" t="s">
        <v>38</v>
      </c>
      <c r="R17">
        <v>0.11</v>
      </c>
      <c r="S17">
        <v>124.89</v>
      </c>
      <c r="T17" s="1" t="s">
        <v>34</v>
      </c>
      <c r="U17" s="1" t="s">
        <v>33</v>
      </c>
    </row>
    <row r="18" spans="1:21" ht="28.8" x14ac:dyDescent="0.3">
      <c r="A18">
        <v>2021</v>
      </c>
      <c r="B18">
        <v>1</v>
      </c>
      <c r="C18">
        <v>32467</v>
      </c>
      <c r="D18">
        <v>33342</v>
      </c>
      <c r="E18" t="s">
        <v>22</v>
      </c>
      <c r="F18" t="s">
        <v>21</v>
      </c>
      <c r="G18">
        <v>13303</v>
      </c>
      <c r="H18">
        <v>11259</v>
      </c>
      <c r="I18" t="s">
        <v>26</v>
      </c>
      <c r="J18" t="s">
        <v>23</v>
      </c>
      <c r="K18">
        <v>1121</v>
      </c>
      <c r="L18">
        <v>198</v>
      </c>
      <c r="M18">
        <v>171.07</v>
      </c>
      <c r="N18" t="s">
        <v>36</v>
      </c>
      <c r="O18">
        <v>0.34</v>
      </c>
      <c r="P18">
        <v>169.51</v>
      </c>
      <c r="Q18" t="s">
        <v>38</v>
      </c>
      <c r="R18">
        <v>0.12</v>
      </c>
      <c r="S18">
        <v>157.18</v>
      </c>
      <c r="T18" s="1" t="s">
        <v>34</v>
      </c>
      <c r="U18" s="1" t="s">
        <v>33</v>
      </c>
    </row>
    <row r="19" spans="1:21" ht="28.8" x14ac:dyDescent="0.3">
      <c r="A19">
        <v>2021</v>
      </c>
      <c r="B19">
        <v>1</v>
      </c>
      <c r="C19">
        <v>32467</v>
      </c>
      <c r="D19">
        <v>33342</v>
      </c>
      <c r="E19" t="s">
        <v>22</v>
      </c>
      <c r="F19" t="s">
        <v>21</v>
      </c>
      <c r="G19">
        <v>11697</v>
      </c>
      <c r="H19">
        <v>11259</v>
      </c>
      <c r="I19" t="s">
        <v>24</v>
      </c>
      <c r="J19" t="s">
        <v>23</v>
      </c>
      <c r="K19">
        <v>1121</v>
      </c>
      <c r="L19">
        <v>429</v>
      </c>
      <c r="M19">
        <v>128.79</v>
      </c>
      <c r="N19" t="s">
        <v>42</v>
      </c>
      <c r="O19">
        <v>0.31</v>
      </c>
      <c r="P19">
        <v>148.74</v>
      </c>
      <c r="Q19" t="s">
        <v>35</v>
      </c>
      <c r="R19">
        <v>0.24</v>
      </c>
      <c r="S19">
        <v>105.13</v>
      </c>
      <c r="T19" s="1" t="s">
        <v>34</v>
      </c>
      <c r="U19" s="1" t="s">
        <v>33</v>
      </c>
    </row>
    <row r="20" spans="1:21" ht="28.8" x14ac:dyDescent="0.3">
      <c r="A20">
        <v>2021</v>
      </c>
      <c r="B20">
        <v>1</v>
      </c>
      <c r="C20">
        <v>32467</v>
      </c>
      <c r="D20">
        <v>33342</v>
      </c>
      <c r="E20" t="s">
        <v>22</v>
      </c>
      <c r="F20" t="s">
        <v>21</v>
      </c>
      <c r="G20">
        <v>13303</v>
      </c>
      <c r="H20">
        <v>11259</v>
      </c>
      <c r="I20" t="s">
        <v>26</v>
      </c>
      <c r="J20" t="s">
        <v>23</v>
      </c>
      <c r="K20">
        <v>1121</v>
      </c>
      <c r="L20">
        <v>299</v>
      </c>
      <c r="M20">
        <v>148.75</v>
      </c>
      <c r="N20" t="s">
        <v>36</v>
      </c>
      <c r="O20">
        <v>0.48</v>
      </c>
      <c r="P20">
        <v>136.61000000000001</v>
      </c>
      <c r="Q20" t="s">
        <v>38</v>
      </c>
      <c r="R20">
        <v>0.12</v>
      </c>
      <c r="S20">
        <v>122.94</v>
      </c>
      <c r="T20" s="1" t="s">
        <v>34</v>
      </c>
      <c r="U20" s="1" t="s">
        <v>33</v>
      </c>
    </row>
    <row r="21" spans="1:21" ht="28.8" x14ac:dyDescent="0.3">
      <c r="A21">
        <v>2021</v>
      </c>
      <c r="B21">
        <v>2</v>
      </c>
      <c r="C21">
        <v>32467</v>
      </c>
      <c r="D21">
        <v>33342</v>
      </c>
      <c r="E21" t="s">
        <v>22</v>
      </c>
      <c r="F21" t="s">
        <v>21</v>
      </c>
      <c r="G21">
        <v>11697</v>
      </c>
      <c r="H21">
        <v>11259</v>
      </c>
      <c r="I21" t="s">
        <v>24</v>
      </c>
      <c r="J21" t="s">
        <v>23</v>
      </c>
      <c r="K21">
        <v>1121</v>
      </c>
      <c r="L21">
        <v>337</v>
      </c>
      <c r="M21">
        <v>152.43</v>
      </c>
      <c r="N21" t="s">
        <v>42</v>
      </c>
      <c r="O21">
        <v>0.59</v>
      </c>
      <c r="P21">
        <v>147.36000000000001</v>
      </c>
      <c r="Q21" t="s">
        <v>35</v>
      </c>
      <c r="R21">
        <v>0.11</v>
      </c>
      <c r="S21">
        <v>120.59</v>
      </c>
      <c r="T21" s="1" t="s">
        <v>34</v>
      </c>
      <c r="U21" s="1" t="s">
        <v>33</v>
      </c>
    </row>
    <row r="22" spans="1:21" ht="28.8" x14ac:dyDescent="0.3">
      <c r="A22">
        <v>2021</v>
      </c>
      <c r="B22">
        <v>3</v>
      </c>
      <c r="C22">
        <v>32467</v>
      </c>
      <c r="D22">
        <v>33342</v>
      </c>
      <c r="E22" t="s">
        <v>22</v>
      </c>
      <c r="F22" t="s">
        <v>21</v>
      </c>
      <c r="G22">
        <v>11697</v>
      </c>
      <c r="H22">
        <v>11259</v>
      </c>
      <c r="I22" t="s">
        <v>24</v>
      </c>
      <c r="J22" t="s">
        <v>23</v>
      </c>
      <c r="K22">
        <v>1121</v>
      </c>
      <c r="L22">
        <v>105</v>
      </c>
      <c r="M22">
        <v>138.62</v>
      </c>
      <c r="N22" t="s">
        <v>31</v>
      </c>
      <c r="O22">
        <v>0.47</v>
      </c>
      <c r="P22">
        <v>144.43</v>
      </c>
      <c r="Q22" t="s">
        <v>38</v>
      </c>
      <c r="R22">
        <v>0.13</v>
      </c>
      <c r="S22">
        <v>126.25</v>
      </c>
      <c r="T22" s="1" t="s">
        <v>34</v>
      </c>
      <c r="U22" s="1" t="s">
        <v>33</v>
      </c>
    </row>
    <row r="23" spans="1:21" ht="28.8" x14ac:dyDescent="0.3">
      <c r="A23">
        <v>2021</v>
      </c>
      <c r="B23">
        <v>1</v>
      </c>
      <c r="C23">
        <v>32467</v>
      </c>
      <c r="D23">
        <v>33342</v>
      </c>
      <c r="E23" t="s">
        <v>22</v>
      </c>
      <c r="F23" t="s">
        <v>21</v>
      </c>
      <c r="G23">
        <v>13303</v>
      </c>
      <c r="H23">
        <v>11259</v>
      </c>
      <c r="I23" t="s">
        <v>26</v>
      </c>
      <c r="J23" t="s">
        <v>23</v>
      </c>
      <c r="K23">
        <v>1121</v>
      </c>
      <c r="L23">
        <v>213</v>
      </c>
      <c r="M23">
        <v>175.08</v>
      </c>
      <c r="N23" t="s">
        <v>36</v>
      </c>
      <c r="O23">
        <v>0.38</v>
      </c>
      <c r="P23">
        <v>159.6</v>
      </c>
      <c r="Q23" t="s">
        <v>36</v>
      </c>
      <c r="R23">
        <v>0.38</v>
      </c>
      <c r="S23">
        <v>159.6</v>
      </c>
      <c r="T23" s="1" t="s">
        <v>34</v>
      </c>
      <c r="U23" s="1" t="s">
        <v>33</v>
      </c>
    </row>
    <row r="24" spans="1:21" ht="28.8" x14ac:dyDescent="0.3">
      <c r="A24">
        <v>2021</v>
      </c>
      <c r="B24">
        <v>4</v>
      </c>
      <c r="C24">
        <v>32467</v>
      </c>
      <c r="D24">
        <v>33342</v>
      </c>
      <c r="E24" t="s">
        <v>22</v>
      </c>
      <c r="F24" t="s">
        <v>21</v>
      </c>
      <c r="G24">
        <v>13303</v>
      </c>
      <c r="H24">
        <v>11259</v>
      </c>
      <c r="I24" t="s">
        <v>26</v>
      </c>
      <c r="J24" t="s">
        <v>23</v>
      </c>
      <c r="K24">
        <v>1121</v>
      </c>
      <c r="L24">
        <v>83</v>
      </c>
      <c r="M24">
        <v>172.51</v>
      </c>
      <c r="N24" t="s">
        <v>31</v>
      </c>
      <c r="O24">
        <v>0.37</v>
      </c>
      <c r="P24">
        <v>152.27000000000001</v>
      </c>
      <c r="Q24" t="s">
        <v>31</v>
      </c>
      <c r="R24">
        <v>0.37</v>
      </c>
      <c r="S24">
        <v>152.27000000000001</v>
      </c>
      <c r="T24" s="1" t="s">
        <v>34</v>
      </c>
      <c r="U24" s="1" t="s">
        <v>33</v>
      </c>
    </row>
    <row r="25" spans="1:21" ht="28.8" x14ac:dyDescent="0.3">
      <c r="A25">
        <v>2021</v>
      </c>
      <c r="B25">
        <v>1</v>
      </c>
      <c r="C25">
        <v>32467</v>
      </c>
      <c r="D25">
        <v>33342</v>
      </c>
      <c r="E25" t="s">
        <v>22</v>
      </c>
      <c r="F25" t="s">
        <v>21</v>
      </c>
      <c r="G25">
        <v>11697</v>
      </c>
      <c r="H25">
        <v>11259</v>
      </c>
      <c r="I25" t="s">
        <v>24</v>
      </c>
      <c r="J25" t="s">
        <v>23</v>
      </c>
      <c r="K25">
        <v>1121</v>
      </c>
      <c r="L25">
        <v>237</v>
      </c>
      <c r="M25">
        <v>158.11000000000001</v>
      </c>
      <c r="N25" t="s">
        <v>36</v>
      </c>
      <c r="O25">
        <v>0.37</v>
      </c>
      <c r="P25">
        <v>135.22999999999999</v>
      </c>
      <c r="Q25" t="s">
        <v>36</v>
      </c>
      <c r="R25">
        <v>0.37</v>
      </c>
      <c r="S25">
        <v>135.22999999999999</v>
      </c>
      <c r="T25" s="1" t="s">
        <v>34</v>
      </c>
      <c r="U25" s="1" t="s">
        <v>33</v>
      </c>
    </row>
    <row r="26" spans="1:21" ht="28.8" x14ac:dyDescent="0.3">
      <c r="A26">
        <v>2021</v>
      </c>
      <c r="B26">
        <v>1</v>
      </c>
      <c r="C26">
        <v>32467</v>
      </c>
      <c r="D26">
        <v>33342</v>
      </c>
      <c r="E26" t="s">
        <v>22</v>
      </c>
      <c r="F26" t="s">
        <v>21</v>
      </c>
      <c r="G26">
        <v>11697</v>
      </c>
      <c r="H26">
        <v>11259</v>
      </c>
      <c r="I26" t="s">
        <v>24</v>
      </c>
      <c r="J26" t="s">
        <v>23</v>
      </c>
      <c r="K26">
        <v>1121</v>
      </c>
      <c r="L26">
        <v>481</v>
      </c>
      <c r="M26">
        <v>149.51</v>
      </c>
      <c r="N26" t="s">
        <v>42</v>
      </c>
      <c r="O26">
        <v>0.74</v>
      </c>
      <c r="P26">
        <v>147.29</v>
      </c>
      <c r="Q26" t="s">
        <v>35</v>
      </c>
      <c r="R26">
        <v>0.04</v>
      </c>
      <c r="S26">
        <v>138.22999999999999</v>
      </c>
      <c r="T26" s="1" t="s">
        <v>34</v>
      </c>
      <c r="U26" s="1" t="s">
        <v>33</v>
      </c>
    </row>
    <row r="27" spans="1:21" ht="28.8" x14ac:dyDescent="0.3">
      <c r="A27">
        <v>2021</v>
      </c>
      <c r="B27">
        <v>4</v>
      </c>
      <c r="C27">
        <v>32467</v>
      </c>
      <c r="D27">
        <v>33342</v>
      </c>
      <c r="E27" t="s">
        <v>22</v>
      </c>
      <c r="F27" t="s">
        <v>21</v>
      </c>
      <c r="G27">
        <v>11697</v>
      </c>
      <c r="H27">
        <v>11259</v>
      </c>
      <c r="I27" t="s">
        <v>24</v>
      </c>
      <c r="J27" t="s">
        <v>23</v>
      </c>
      <c r="K27">
        <v>1121</v>
      </c>
      <c r="L27">
        <v>349</v>
      </c>
      <c r="M27">
        <v>147.63999999999999</v>
      </c>
      <c r="N27" t="s">
        <v>42</v>
      </c>
      <c r="O27">
        <v>0.74</v>
      </c>
      <c r="P27">
        <v>145.77000000000001</v>
      </c>
      <c r="Q27" t="s">
        <v>35</v>
      </c>
      <c r="R27">
        <v>0.06</v>
      </c>
      <c r="S27">
        <v>130.25</v>
      </c>
      <c r="T27" s="1" t="s">
        <v>34</v>
      </c>
      <c r="U27" s="1" t="s">
        <v>33</v>
      </c>
    </row>
    <row r="28" spans="1:21" ht="28.8" x14ac:dyDescent="0.3">
      <c r="A28">
        <v>2021</v>
      </c>
      <c r="B28">
        <v>3</v>
      </c>
      <c r="C28">
        <v>32467</v>
      </c>
      <c r="D28">
        <v>33342</v>
      </c>
      <c r="E28" t="s">
        <v>22</v>
      </c>
      <c r="F28" t="s">
        <v>21</v>
      </c>
      <c r="G28">
        <v>13303</v>
      </c>
      <c r="H28">
        <v>11259</v>
      </c>
      <c r="I28" t="s">
        <v>26</v>
      </c>
      <c r="J28" t="s">
        <v>23</v>
      </c>
      <c r="K28">
        <v>1121</v>
      </c>
      <c r="L28">
        <v>49</v>
      </c>
      <c r="M28">
        <v>253.73</v>
      </c>
      <c r="N28" t="s">
        <v>31</v>
      </c>
      <c r="O28">
        <v>0.5</v>
      </c>
      <c r="P28">
        <v>252.06</v>
      </c>
      <c r="Q28" t="s">
        <v>31</v>
      </c>
      <c r="R28">
        <v>0.5</v>
      </c>
      <c r="S28">
        <v>252.06</v>
      </c>
      <c r="T28" s="1" t="s">
        <v>34</v>
      </c>
      <c r="U28" s="1" t="s">
        <v>33</v>
      </c>
    </row>
    <row r="29" spans="1:21" ht="28.8" x14ac:dyDescent="0.3">
      <c r="A29">
        <v>2021</v>
      </c>
      <c r="B29">
        <v>3</v>
      </c>
      <c r="C29">
        <v>32467</v>
      </c>
      <c r="D29">
        <v>33342</v>
      </c>
      <c r="E29" t="s">
        <v>22</v>
      </c>
      <c r="F29" t="s">
        <v>21</v>
      </c>
      <c r="G29">
        <v>13303</v>
      </c>
      <c r="H29">
        <v>11259</v>
      </c>
      <c r="I29" t="s">
        <v>26</v>
      </c>
      <c r="J29" t="s">
        <v>23</v>
      </c>
      <c r="K29">
        <v>1121</v>
      </c>
      <c r="L29">
        <v>78</v>
      </c>
      <c r="M29">
        <v>135.93</v>
      </c>
      <c r="N29" t="s">
        <v>36</v>
      </c>
      <c r="O29">
        <v>0.22</v>
      </c>
      <c r="P29">
        <v>127.27</v>
      </c>
      <c r="Q29" t="s">
        <v>35</v>
      </c>
      <c r="R29">
        <v>0.13</v>
      </c>
      <c r="S29">
        <v>99.03</v>
      </c>
      <c r="T29" s="1" t="s">
        <v>34</v>
      </c>
      <c r="U29" s="1" t="s">
        <v>33</v>
      </c>
    </row>
    <row r="30" spans="1:21" ht="28.8" x14ac:dyDescent="0.3">
      <c r="A30">
        <v>2021</v>
      </c>
      <c r="B30">
        <v>2</v>
      </c>
      <c r="C30">
        <v>32467</v>
      </c>
      <c r="D30">
        <v>33342</v>
      </c>
      <c r="E30" t="s">
        <v>22</v>
      </c>
      <c r="F30" t="s">
        <v>21</v>
      </c>
      <c r="G30">
        <v>13303</v>
      </c>
      <c r="H30">
        <v>11259</v>
      </c>
      <c r="I30" t="s">
        <v>26</v>
      </c>
      <c r="J30" t="s">
        <v>23</v>
      </c>
      <c r="K30">
        <v>1121</v>
      </c>
      <c r="L30">
        <v>136</v>
      </c>
      <c r="M30">
        <v>143.85</v>
      </c>
      <c r="N30" t="s">
        <v>36</v>
      </c>
      <c r="O30">
        <v>0.48</v>
      </c>
      <c r="P30">
        <v>136.93</v>
      </c>
      <c r="Q30" t="s">
        <v>36</v>
      </c>
      <c r="R30">
        <v>0.48</v>
      </c>
      <c r="S30">
        <v>136.93</v>
      </c>
      <c r="T30" s="1" t="s">
        <v>34</v>
      </c>
      <c r="U30" s="1" t="s">
        <v>33</v>
      </c>
    </row>
    <row r="31" spans="1:21" ht="28.8" x14ac:dyDescent="0.3">
      <c r="A31">
        <v>2021</v>
      </c>
      <c r="B31">
        <v>1</v>
      </c>
      <c r="C31">
        <v>32467</v>
      </c>
      <c r="D31">
        <v>33342</v>
      </c>
      <c r="E31" t="s">
        <v>22</v>
      </c>
      <c r="F31" t="s">
        <v>21</v>
      </c>
      <c r="G31">
        <v>11697</v>
      </c>
      <c r="H31">
        <v>11259</v>
      </c>
      <c r="I31" t="s">
        <v>24</v>
      </c>
      <c r="J31" t="s">
        <v>23</v>
      </c>
      <c r="K31">
        <v>1121</v>
      </c>
      <c r="L31">
        <v>274</v>
      </c>
      <c r="M31">
        <v>167.65</v>
      </c>
      <c r="N31" t="s">
        <v>36</v>
      </c>
      <c r="O31">
        <v>0.28999999999999998</v>
      </c>
      <c r="P31">
        <v>159.13</v>
      </c>
      <c r="Q31" t="s">
        <v>38</v>
      </c>
      <c r="R31">
        <v>0.14000000000000001</v>
      </c>
      <c r="S31">
        <v>153.25</v>
      </c>
      <c r="T31" s="1" t="s">
        <v>34</v>
      </c>
      <c r="U31" s="1" t="s">
        <v>33</v>
      </c>
    </row>
    <row r="32" spans="1:21" ht="28.8" x14ac:dyDescent="0.3">
      <c r="A32">
        <v>2021</v>
      </c>
      <c r="B32">
        <v>2</v>
      </c>
      <c r="C32">
        <v>32467</v>
      </c>
      <c r="D32">
        <v>33342</v>
      </c>
      <c r="E32" t="s">
        <v>22</v>
      </c>
      <c r="F32" t="s">
        <v>21</v>
      </c>
      <c r="G32">
        <v>11697</v>
      </c>
      <c r="H32">
        <v>11259</v>
      </c>
      <c r="I32" t="s">
        <v>24</v>
      </c>
      <c r="J32" t="s">
        <v>23</v>
      </c>
      <c r="K32">
        <v>1121</v>
      </c>
      <c r="L32">
        <v>367</v>
      </c>
      <c r="M32">
        <v>184.85</v>
      </c>
      <c r="N32" t="s">
        <v>25</v>
      </c>
      <c r="O32">
        <v>0.56999999999999995</v>
      </c>
      <c r="P32">
        <v>178.75</v>
      </c>
      <c r="Q32" t="s">
        <v>25</v>
      </c>
      <c r="R32">
        <v>0.56999999999999995</v>
      </c>
      <c r="S32">
        <v>178.75</v>
      </c>
      <c r="T32" s="1" t="s">
        <v>34</v>
      </c>
      <c r="U32" s="1" t="s">
        <v>33</v>
      </c>
    </row>
    <row r="33" spans="1:21" ht="28.8" x14ac:dyDescent="0.3">
      <c r="A33">
        <v>2021</v>
      </c>
      <c r="B33">
        <v>2</v>
      </c>
      <c r="C33">
        <v>32467</v>
      </c>
      <c r="D33">
        <v>33342</v>
      </c>
      <c r="E33" t="s">
        <v>22</v>
      </c>
      <c r="F33" t="s">
        <v>21</v>
      </c>
      <c r="G33">
        <v>11697</v>
      </c>
      <c r="H33">
        <v>11259</v>
      </c>
      <c r="I33" t="s">
        <v>24</v>
      </c>
      <c r="J33" t="s">
        <v>23</v>
      </c>
      <c r="K33">
        <v>1121</v>
      </c>
      <c r="L33">
        <v>97</v>
      </c>
      <c r="M33">
        <v>182.98</v>
      </c>
      <c r="N33" t="s">
        <v>31</v>
      </c>
      <c r="O33">
        <v>0.28000000000000003</v>
      </c>
      <c r="P33">
        <v>187.08</v>
      </c>
      <c r="Q33" t="s">
        <v>36</v>
      </c>
      <c r="R33">
        <v>0.25</v>
      </c>
      <c r="S33">
        <v>157.02000000000001</v>
      </c>
      <c r="T33" s="1" t="s">
        <v>34</v>
      </c>
      <c r="U33" s="1" t="s">
        <v>33</v>
      </c>
    </row>
    <row r="34" spans="1:21" ht="28.8" x14ac:dyDescent="0.3">
      <c r="A34">
        <v>2021</v>
      </c>
      <c r="B34">
        <v>3</v>
      </c>
      <c r="C34">
        <v>32467</v>
      </c>
      <c r="D34">
        <v>33342</v>
      </c>
      <c r="E34" t="s">
        <v>22</v>
      </c>
      <c r="F34" t="s">
        <v>21</v>
      </c>
      <c r="G34">
        <v>13303</v>
      </c>
      <c r="H34">
        <v>11259</v>
      </c>
      <c r="I34" t="s">
        <v>26</v>
      </c>
      <c r="J34" t="s">
        <v>23</v>
      </c>
      <c r="K34">
        <v>1121</v>
      </c>
      <c r="L34">
        <v>53</v>
      </c>
      <c r="M34">
        <v>169.6</v>
      </c>
      <c r="N34" t="s">
        <v>28</v>
      </c>
      <c r="O34">
        <v>0.25</v>
      </c>
      <c r="P34">
        <v>185.16</v>
      </c>
      <c r="Q34" t="s">
        <v>35</v>
      </c>
      <c r="R34">
        <v>0.17</v>
      </c>
      <c r="S34">
        <v>129.36000000000001</v>
      </c>
      <c r="T34" s="1" t="s">
        <v>34</v>
      </c>
      <c r="U34" s="1" t="s">
        <v>33</v>
      </c>
    </row>
    <row r="35" spans="1:21" ht="28.8" x14ac:dyDescent="0.3">
      <c r="A35">
        <v>2021</v>
      </c>
      <c r="B35">
        <v>4</v>
      </c>
      <c r="C35">
        <v>32467</v>
      </c>
      <c r="D35">
        <v>33342</v>
      </c>
      <c r="E35" t="s">
        <v>22</v>
      </c>
      <c r="F35" t="s">
        <v>21</v>
      </c>
      <c r="G35">
        <v>11697</v>
      </c>
      <c r="H35">
        <v>11259</v>
      </c>
      <c r="I35" t="s">
        <v>24</v>
      </c>
      <c r="J35" t="s">
        <v>23</v>
      </c>
      <c r="K35">
        <v>1121</v>
      </c>
      <c r="L35">
        <v>258</v>
      </c>
      <c r="M35">
        <v>133.79</v>
      </c>
      <c r="N35" t="s">
        <v>42</v>
      </c>
      <c r="O35">
        <v>0.31</v>
      </c>
      <c r="P35">
        <v>139.68</v>
      </c>
      <c r="Q35" t="s">
        <v>31</v>
      </c>
      <c r="R35">
        <v>0.27</v>
      </c>
      <c r="S35">
        <v>123.4</v>
      </c>
      <c r="T35" s="1" t="s">
        <v>34</v>
      </c>
      <c r="U35" s="1" t="s">
        <v>33</v>
      </c>
    </row>
    <row r="36" spans="1:21" ht="28.8" x14ac:dyDescent="0.3">
      <c r="A36">
        <v>2021</v>
      </c>
      <c r="B36">
        <v>4</v>
      </c>
      <c r="C36">
        <v>32467</v>
      </c>
      <c r="D36">
        <v>33342</v>
      </c>
      <c r="E36" t="s">
        <v>22</v>
      </c>
      <c r="F36" t="s">
        <v>21</v>
      </c>
      <c r="G36">
        <v>11697</v>
      </c>
      <c r="H36">
        <v>11259</v>
      </c>
      <c r="I36" t="s">
        <v>24</v>
      </c>
      <c r="J36" t="s">
        <v>23</v>
      </c>
      <c r="K36">
        <v>1121</v>
      </c>
      <c r="L36">
        <v>160</v>
      </c>
      <c r="M36">
        <v>140.85</v>
      </c>
      <c r="N36" t="s">
        <v>36</v>
      </c>
      <c r="O36">
        <v>0.26</v>
      </c>
      <c r="P36">
        <v>133.33000000000001</v>
      </c>
      <c r="Q36" t="s">
        <v>43</v>
      </c>
      <c r="R36">
        <v>0.12</v>
      </c>
      <c r="S36">
        <v>97.8</v>
      </c>
      <c r="T36" s="1" t="s">
        <v>34</v>
      </c>
      <c r="U36" s="1" t="s">
        <v>33</v>
      </c>
    </row>
    <row r="37" spans="1:21" ht="28.8" x14ac:dyDescent="0.3">
      <c r="A37">
        <v>2021</v>
      </c>
      <c r="B37">
        <v>3</v>
      </c>
      <c r="C37">
        <v>32467</v>
      </c>
      <c r="D37">
        <v>33342</v>
      </c>
      <c r="E37" t="s">
        <v>22</v>
      </c>
      <c r="F37" t="s">
        <v>21</v>
      </c>
      <c r="G37">
        <v>11697</v>
      </c>
      <c r="H37">
        <v>11259</v>
      </c>
      <c r="I37" t="s">
        <v>24</v>
      </c>
      <c r="J37" t="s">
        <v>23</v>
      </c>
      <c r="K37">
        <v>1121</v>
      </c>
      <c r="L37">
        <v>95</v>
      </c>
      <c r="M37">
        <v>155.54</v>
      </c>
      <c r="N37" t="s">
        <v>31</v>
      </c>
      <c r="O37">
        <v>0.34</v>
      </c>
      <c r="P37">
        <v>171.08</v>
      </c>
      <c r="Q37" t="s">
        <v>38</v>
      </c>
      <c r="R37">
        <v>0.31</v>
      </c>
      <c r="S37">
        <v>131.22999999999999</v>
      </c>
      <c r="T37" s="1" t="s">
        <v>34</v>
      </c>
      <c r="U37" s="1" t="s">
        <v>33</v>
      </c>
    </row>
    <row r="38" spans="1:21" ht="28.8" x14ac:dyDescent="0.3">
      <c r="A38">
        <v>2021</v>
      </c>
      <c r="B38">
        <v>2</v>
      </c>
      <c r="C38">
        <v>32467</v>
      </c>
      <c r="D38">
        <v>33342</v>
      </c>
      <c r="E38" t="s">
        <v>22</v>
      </c>
      <c r="F38" t="s">
        <v>21</v>
      </c>
      <c r="G38">
        <v>13303</v>
      </c>
      <c r="H38">
        <v>11259</v>
      </c>
      <c r="I38" t="s">
        <v>26</v>
      </c>
      <c r="J38" t="s">
        <v>23</v>
      </c>
      <c r="K38">
        <v>1121</v>
      </c>
      <c r="L38">
        <v>141</v>
      </c>
      <c r="M38">
        <v>133.85</v>
      </c>
      <c r="N38" t="s">
        <v>36</v>
      </c>
      <c r="O38">
        <v>0.43</v>
      </c>
      <c r="P38">
        <v>126.09</v>
      </c>
      <c r="Q38" t="s">
        <v>36</v>
      </c>
      <c r="R38">
        <v>0.43</v>
      </c>
      <c r="S38">
        <v>126.09</v>
      </c>
      <c r="T38" s="1" t="s">
        <v>34</v>
      </c>
      <c r="U38" s="1" t="s">
        <v>33</v>
      </c>
    </row>
    <row r="39" spans="1:21" ht="28.8" x14ac:dyDescent="0.3">
      <c r="A39">
        <v>2021</v>
      </c>
      <c r="B39">
        <v>1</v>
      </c>
      <c r="C39">
        <v>32467</v>
      </c>
      <c r="D39">
        <v>33342</v>
      </c>
      <c r="E39" t="s">
        <v>22</v>
      </c>
      <c r="F39" t="s">
        <v>21</v>
      </c>
      <c r="G39">
        <v>11697</v>
      </c>
      <c r="H39">
        <v>11259</v>
      </c>
      <c r="I39" t="s">
        <v>24</v>
      </c>
      <c r="J39" t="s">
        <v>23</v>
      </c>
      <c r="K39">
        <v>1121</v>
      </c>
      <c r="L39">
        <v>216</v>
      </c>
      <c r="M39">
        <v>141.9</v>
      </c>
      <c r="N39" t="s">
        <v>36</v>
      </c>
      <c r="O39">
        <v>0.24</v>
      </c>
      <c r="P39">
        <v>138</v>
      </c>
      <c r="Q39" t="s">
        <v>28</v>
      </c>
      <c r="R39">
        <v>0.11</v>
      </c>
      <c r="S39">
        <v>126.86</v>
      </c>
      <c r="T39" s="1" t="s">
        <v>34</v>
      </c>
      <c r="U39" s="1" t="s">
        <v>33</v>
      </c>
    </row>
    <row r="40" spans="1:21" ht="28.8" x14ac:dyDescent="0.3">
      <c r="A40">
        <v>2021</v>
      </c>
      <c r="B40">
        <v>1</v>
      </c>
      <c r="C40">
        <v>32467</v>
      </c>
      <c r="D40">
        <v>33342</v>
      </c>
      <c r="E40" t="s">
        <v>22</v>
      </c>
      <c r="F40" t="s">
        <v>21</v>
      </c>
      <c r="G40">
        <v>13303</v>
      </c>
      <c r="H40">
        <v>11259</v>
      </c>
      <c r="I40" t="s">
        <v>26</v>
      </c>
      <c r="J40" t="s">
        <v>23</v>
      </c>
      <c r="K40">
        <v>1121</v>
      </c>
      <c r="L40">
        <v>99</v>
      </c>
      <c r="M40">
        <v>187.22</v>
      </c>
      <c r="N40" t="s">
        <v>31</v>
      </c>
      <c r="O40">
        <v>0.27</v>
      </c>
      <c r="P40">
        <v>179.11</v>
      </c>
      <c r="Q40" t="s">
        <v>35</v>
      </c>
      <c r="R40">
        <v>0.13</v>
      </c>
      <c r="S40">
        <v>142.46</v>
      </c>
      <c r="T40" s="1" t="s">
        <v>34</v>
      </c>
      <c r="U40" s="1" t="s">
        <v>33</v>
      </c>
    </row>
    <row r="41" spans="1:21" ht="28.8" x14ac:dyDescent="0.3">
      <c r="A41">
        <v>2021</v>
      </c>
      <c r="B41">
        <v>2</v>
      </c>
      <c r="C41">
        <v>32467</v>
      </c>
      <c r="D41">
        <v>33342</v>
      </c>
      <c r="E41" t="s">
        <v>22</v>
      </c>
      <c r="F41" t="s">
        <v>21</v>
      </c>
      <c r="G41">
        <v>11697</v>
      </c>
      <c r="H41">
        <v>11259</v>
      </c>
      <c r="I41" t="s">
        <v>24</v>
      </c>
      <c r="J41" t="s">
        <v>23</v>
      </c>
      <c r="K41">
        <v>1121</v>
      </c>
      <c r="L41">
        <v>285</v>
      </c>
      <c r="M41">
        <v>184.54</v>
      </c>
      <c r="N41" t="s">
        <v>35</v>
      </c>
      <c r="O41">
        <v>0.36</v>
      </c>
      <c r="P41">
        <v>174.91</v>
      </c>
      <c r="Q41" t="s">
        <v>35</v>
      </c>
      <c r="R41">
        <v>0.36</v>
      </c>
      <c r="S41">
        <v>174.91</v>
      </c>
      <c r="T41" s="1" t="s">
        <v>34</v>
      </c>
      <c r="U41" s="1" t="s">
        <v>33</v>
      </c>
    </row>
    <row r="42" spans="1:21" ht="28.8" x14ac:dyDescent="0.3">
      <c r="A42">
        <v>2021</v>
      </c>
      <c r="B42">
        <v>2</v>
      </c>
      <c r="C42">
        <v>32467</v>
      </c>
      <c r="D42">
        <v>33342</v>
      </c>
      <c r="E42" t="s">
        <v>22</v>
      </c>
      <c r="F42" t="s">
        <v>21</v>
      </c>
      <c r="G42">
        <v>11697</v>
      </c>
      <c r="H42">
        <v>11259</v>
      </c>
      <c r="I42" t="s">
        <v>24</v>
      </c>
      <c r="J42" t="s">
        <v>23</v>
      </c>
      <c r="K42">
        <v>1121</v>
      </c>
      <c r="L42">
        <v>276</v>
      </c>
      <c r="M42">
        <v>136.21</v>
      </c>
      <c r="N42" t="s">
        <v>35</v>
      </c>
      <c r="O42">
        <v>0.56999999999999995</v>
      </c>
      <c r="P42">
        <v>133.26</v>
      </c>
      <c r="Q42" t="s">
        <v>35</v>
      </c>
      <c r="R42">
        <v>0.56999999999999995</v>
      </c>
      <c r="S42">
        <v>133.26</v>
      </c>
      <c r="T42" s="1" t="s">
        <v>34</v>
      </c>
      <c r="U42" s="1" t="s">
        <v>33</v>
      </c>
    </row>
    <row r="43" spans="1:21" ht="28.8" x14ac:dyDescent="0.3">
      <c r="A43">
        <v>2021</v>
      </c>
      <c r="B43">
        <v>3</v>
      </c>
      <c r="C43">
        <v>32467</v>
      </c>
      <c r="D43">
        <v>33342</v>
      </c>
      <c r="E43" t="s">
        <v>22</v>
      </c>
      <c r="F43" t="s">
        <v>21</v>
      </c>
      <c r="G43">
        <v>11697</v>
      </c>
      <c r="H43">
        <v>11259</v>
      </c>
      <c r="I43" t="s">
        <v>24</v>
      </c>
      <c r="J43" t="s">
        <v>23</v>
      </c>
      <c r="K43">
        <v>1121</v>
      </c>
      <c r="L43">
        <v>259</v>
      </c>
      <c r="M43">
        <v>153</v>
      </c>
      <c r="N43" t="s">
        <v>35</v>
      </c>
      <c r="O43">
        <v>0.66</v>
      </c>
      <c r="P43">
        <v>146.69999999999999</v>
      </c>
      <c r="Q43" t="s">
        <v>35</v>
      </c>
      <c r="R43">
        <v>0.66</v>
      </c>
      <c r="S43">
        <v>146.69999999999999</v>
      </c>
      <c r="T43" s="1" t="s">
        <v>34</v>
      </c>
      <c r="U43" s="1" t="s">
        <v>33</v>
      </c>
    </row>
    <row r="44" spans="1:21" ht="28.8" x14ac:dyDescent="0.3">
      <c r="A44">
        <v>2021</v>
      </c>
      <c r="B44">
        <v>1</v>
      </c>
      <c r="C44">
        <v>32467</v>
      </c>
      <c r="D44">
        <v>33342</v>
      </c>
      <c r="E44" t="s">
        <v>22</v>
      </c>
      <c r="F44" t="s">
        <v>21</v>
      </c>
      <c r="G44">
        <v>11697</v>
      </c>
      <c r="H44">
        <v>11259</v>
      </c>
      <c r="I44" t="s">
        <v>24</v>
      </c>
      <c r="J44" t="s">
        <v>23</v>
      </c>
      <c r="K44">
        <v>1121</v>
      </c>
      <c r="L44">
        <v>368</v>
      </c>
      <c r="M44">
        <v>139.61000000000001</v>
      </c>
      <c r="N44" t="s">
        <v>42</v>
      </c>
      <c r="O44">
        <v>0.46</v>
      </c>
      <c r="P44">
        <v>140.59</v>
      </c>
      <c r="Q44" t="s">
        <v>31</v>
      </c>
      <c r="R44">
        <v>0.16</v>
      </c>
      <c r="S44">
        <v>139.11000000000001</v>
      </c>
      <c r="T44" s="1" t="s">
        <v>34</v>
      </c>
      <c r="U44" s="1" t="s">
        <v>33</v>
      </c>
    </row>
    <row r="45" spans="1:21" ht="28.8" x14ac:dyDescent="0.3">
      <c r="A45">
        <v>2021</v>
      </c>
      <c r="B45">
        <v>4</v>
      </c>
      <c r="C45">
        <v>32467</v>
      </c>
      <c r="D45">
        <v>33342</v>
      </c>
      <c r="E45" t="s">
        <v>22</v>
      </c>
      <c r="F45" t="s">
        <v>21</v>
      </c>
      <c r="G45">
        <v>13303</v>
      </c>
      <c r="H45">
        <v>11259</v>
      </c>
      <c r="I45" t="s">
        <v>26</v>
      </c>
      <c r="J45" t="s">
        <v>23</v>
      </c>
      <c r="K45">
        <v>1121</v>
      </c>
      <c r="L45">
        <v>196</v>
      </c>
      <c r="M45">
        <v>129.96</v>
      </c>
      <c r="N45" t="s">
        <v>36</v>
      </c>
      <c r="O45">
        <v>0.28000000000000003</v>
      </c>
      <c r="P45">
        <v>122.98</v>
      </c>
      <c r="Q45" t="s">
        <v>37</v>
      </c>
      <c r="R45">
        <v>0.22</v>
      </c>
      <c r="S45">
        <v>115.86</v>
      </c>
      <c r="T45" s="1" t="s">
        <v>34</v>
      </c>
      <c r="U45" s="1" t="s">
        <v>33</v>
      </c>
    </row>
    <row r="46" spans="1:21" ht="28.8" x14ac:dyDescent="0.3">
      <c r="A46">
        <v>2021</v>
      </c>
      <c r="B46">
        <v>1</v>
      </c>
      <c r="C46">
        <v>32467</v>
      </c>
      <c r="D46">
        <v>33342</v>
      </c>
      <c r="E46" t="s">
        <v>22</v>
      </c>
      <c r="F46" t="s">
        <v>21</v>
      </c>
      <c r="G46">
        <v>13303</v>
      </c>
      <c r="H46">
        <v>11259</v>
      </c>
      <c r="I46" t="s">
        <v>26</v>
      </c>
      <c r="J46" t="s">
        <v>23</v>
      </c>
      <c r="K46">
        <v>1121</v>
      </c>
      <c r="L46">
        <v>298</v>
      </c>
      <c r="M46">
        <v>135.9</v>
      </c>
      <c r="N46" t="s">
        <v>36</v>
      </c>
      <c r="O46">
        <v>0.33</v>
      </c>
      <c r="P46">
        <v>132.61000000000001</v>
      </c>
      <c r="Q46" t="s">
        <v>37</v>
      </c>
      <c r="R46">
        <v>0.15</v>
      </c>
      <c r="S46">
        <v>121.4</v>
      </c>
      <c r="T46" s="1" t="s">
        <v>34</v>
      </c>
      <c r="U46" s="1" t="s">
        <v>33</v>
      </c>
    </row>
    <row r="47" spans="1:21" ht="28.8" x14ac:dyDescent="0.3">
      <c r="A47">
        <v>2021</v>
      </c>
      <c r="B47">
        <v>3</v>
      </c>
      <c r="C47">
        <v>32467</v>
      </c>
      <c r="D47">
        <v>33342</v>
      </c>
      <c r="E47" t="s">
        <v>22</v>
      </c>
      <c r="F47" t="s">
        <v>21</v>
      </c>
      <c r="G47">
        <v>11697</v>
      </c>
      <c r="H47">
        <v>11259</v>
      </c>
      <c r="I47" t="s">
        <v>24</v>
      </c>
      <c r="J47" t="s">
        <v>23</v>
      </c>
      <c r="K47">
        <v>1121</v>
      </c>
      <c r="L47">
        <v>206</v>
      </c>
      <c r="M47">
        <v>194.88</v>
      </c>
      <c r="N47" t="s">
        <v>25</v>
      </c>
      <c r="O47">
        <v>0.36</v>
      </c>
      <c r="P47">
        <v>180.98</v>
      </c>
      <c r="Q47" t="s">
        <v>25</v>
      </c>
      <c r="R47">
        <v>0.36</v>
      </c>
      <c r="S47">
        <v>180.98</v>
      </c>
      <c r="T47" s="1" t="s">
        <v>34</v>
      </c>
      <c r="U47" s="1" t="s">
        <v>33</v>
      </c>
    </row>
    <row r="48" spans="1:21" ht="28.8" x14ac:dyDescent="0.3">
      <c r="A48">
        <v>2021</v>
      </c>
      <c r="B48">
        <v>1</v>
      </c>
      <c r="C48">
        <v>32467</v>
      </c>
      <c r="D48">
        <v>33342</v>
      </c>
      <c r="E48" t="s">
        <v>22</v>
      </c>
      <c r="F48" t="s">
        <v>21</v>
      </c>
      <c r="G48">
        <v>13303</v>
      </c>
      <c r="H48">
        <v>11259</v>
      </c>
      <c r="I48" t="s">
        <v>26</v>
      </c>
      <c r="J48" t="s">
        <v>23</v>
      </c>
      <c r="K48">
        <v>1121</v>
      </c>
      <c r="L48">
        <v>235</v>
      </c>
      <c r="M48">
        <v>148.66</v>
      </c>
      <c r="N48" t="s">
        <v>31</v>
      </c>
      <c r="O48">
        <v>0.33</v>
      </c>
      <c r="P48">
        <v>142.84</v>
      </c>
      <c r="Q48" t="s">
        <v>28</v>
      </c>
      <c r="R48">
        <v>0.15</v>
      </c>
      <c r="S48">
        <v>135.9</v>
      </c>
      <c r="T48" s="1" t="s">
        <v>34</v>
      </c>
      <c r="U48" s="1" t="s">
        <v>33</v>
      </c>
    </row>
    <row r="49" spans="1:21" ht="28.8" x14ac:dyDescent="0.3">
      <c r="A49">
        <v>2021</v>
      </c>
      <c r="B49">
        <v>1</v>
      </c>
      <c r="C49">
        <v>32467</v>
      </c>
      <c r="D49">
        <v>33342</v>
      </c>
      <c r="E49" t="s">
        <v>22</v>
      </c>
      <c r="F49" t="s">
        <v>21</v>
      </c>
      <c r="G49">
        <v>13303</v>
      </c>
      <c r="H49">
        <v>11259</v>
      </c>
      <c r="I49" t="s">
        <v>26</v>
      </c>
      <c r="J49" t="s">
        <v>23</v>
      </c>
      <c r="K49">
        <v>1121</v>
      </c>
      <c r="L49">
        <v>88</v>
      </c>
      <c r="M49">
        <v>234.35</v>
      </c>
      <c r="N49" t="s">
        <v>31</v>
      </c>
      <c r="O49">
        <v>0.55000000000000004</v>
      </c>
      <c r="P49">
        <v>246.27</v>
      </c>
      <c r="Q49" t="s">
        <v>37</v>
      </c>
      <c r="R49">
        <v>0.15</v>
      </c>
      <c r="S49">
        <v>197.33</v>
      </c>
      <c r="T49" s="1" t="s">
        <v>34</v>
      </c>
      <c r="U49" s="1" t="s">
        <v>33</v>
      </c>
    </row>
    <row r="50" spans="1:21" ht="28.8" x14ac:dyDescent="0.3">
      <c r="A50">
        <v>2021</v>
      </c>
      <c r="B50">
        <v>4</v>
      </c>
      <c r="C50">
        <v>32467</v>
      </c>
      <c r="D50">
        <v>33342</v>
      </c>
      <c r="E50" t="s">
        <v>22</v>
      </c>
      <c r="F50" t="s">
        <v>21</v>
      </c>
      <c r="G50">
        <v>11697</v>
      </c>
      <c r="H50">
        <v>11259</v>
      </c>
      <c r="I50" t="s">
        <v>24</v>
      </c>
      <c r="J50" t="s">
        <v>23</v>
      </c>
      <c r="K50">
        <v>1121</v>
      </c>
      <c r="L50">
        <v>142</v>
      </c>
      <c r="M50">
        <v>155.49</v>
      </c>
      <c r="N50" t="s">
        <v>31</v>
      </c>
      <c r="O50">
        <v>0.26</v>
      </c>
      <c r="P50">
        <v>170.83</v>
      </c>
      <c r="Q50" t="s">
        <v>38</v>
      </c>
      <c r="R50">
        <v>0.13</v>
      </c>
      <c r="S50">
        <v>136.25</v>
      </c>
      <c r="T50" s="1" t="s">
        <v>34</v>
      </c>
      <c r="U50" s="1" t="s">
        <v>33</v>
      </c>
    </row>
    <row r="51" spans="1:21" ht="28.8" x14ac:dyDescent="0.3">
      <c r="A51">
        <v>2021</v>
      </c>
      <c r="B51">
        <v>2</v>
      </c>
      <c r="C51">
        <v>32467</v>
      </c>
      <c r="D51">
        <v>33342</v>
      </c>
      <c r="E51" t="s">
        <v>22</v>
      </c>
      <c r="F51" t="s">
        <v>21</v>
      </c>
      <c r="G51">
        <v>11697</v>
      </c>
      <c r="H51">
        <v>11259</v>
      </c>
      <c r="I51" t="s">
        <v>24</v>
      </c>
      <c r="J51" t="s">
        <v>23</v>
      </c>
      <c r="K51">
        <v>1121</v>
      </c>
      <c r="L51">
        <v>175</v>
      </c>
      <c r="M51">
        <v>124.18</v>
      </c>
      <c r="N51" t="s">
        <v>44</v>
      </c>
      <c r="O51">
        <v>0.27</v>
      </c>
      <c r="P51">
        <v>111.04</v>
      </c>
      <c r="Q51" t="s">
        <v>44</v>
      </c>
      <c r="R51">
        <v>0.27</v>
      </c>
      <c r="S51">
        <v>111.04</v>
      </c>
      <c r="T51" s="1" t="s">
        <v>34</v>
      </c>
      <c r="U51" s="1" t="s">
        <v>33</v>
      </c>
    </row>
    <row r="52" spans="1:21" ht="28.8" x14ac:dyDescent="0.3">
      <c r="A52">
        <v>2021</v>
      </c>
      <c r="B52">
        <v>4</v>
      </c>
      <c r="C52">
        <v>32467</v>
      </c>
      <c r="D52">
        <v>33342</v>
      </c>
      <c r="E52" t="s">
        <v>22</v>
      </c>
      <c r="F52" t="s">
        <v>21</v>
      </c>
      <c r="G52">
        <v>13303</v>
      </c>
      <c r="H52">
        <v>11259</v>
      </c>
      <c r="I52" t="s">
        <v>26</v>
      </c>
      <c r="J52" t="s">
        <v>23</v>
      </c>
      <c r="K52">
        <v>1121</v>
      </c>
      <c r="L52">
        <v>161</v>
      </c>
      <c r="M52">
        <v>131.76</v>
      </c>
      <c r="N52" t="s">
        <v>36</v>
      </c>
      <c r="O52">
        <v>0.42</v>
      </c>
      <c r="P52">
        <v>128.44999999999999</v>
      </c>
      <c r="Q52" t="s">
        <v>28</v>
      </c>
      <c r="R52">
        <v>0.18</v>
      </c>
      <c r="S52">
        <v>126.67</v>
      </c>
      <c r="T52" s="1" t="s">
        <v>34</v>
      </c>
      <c r="U52" s="1" t="s">
        <v>33</v>
      </c>
    </row>
    <row r="53" spans="1:21" ht="28.8" x14ac:dyDescent="0.3">
      <c r="A53">
        <v>2021</v>
      </c>
      <c r="B53">
        <v>1</v>
      </c>
      <c r="C53">
        <v>32467</v>
      </c>
      <c r="D53">
        <v>33342</v>
      </c>
      <c r="E53" t="s">
        <v>22</v>
      </c>
      <c r="F53" t="s">
        <v>21</v>
      </c>
      <c r="G53">
        <v>11697</v>
      </c>
      <c r="H53">
        <v>11259</v>
      </c>
      <c r="I53" t="s">
        <v>24</v>
      </c>
      <c r="J53" t="s">
        <v>23</v>
      </c>
      <c r="K53">
        <v>1121</v>
      </c>
      <c r="L53">
        <v>470</v>
      </c>
      <c r="M53">
        <v>176.51</v>
      </c>
      <c r="N53" t="s">
        <v>42</v>
      </c>
      <c r="O53">
        <v>0.7</v>
      </c>
      <c r="P53">
        <v>179.42</v>
      </c>
      <c r="Q53" t="s">
        <v>35</v>
      </c>
      <c r="R53">
        <v>7.0000000000000007E-2</v>
      </c>
      <c r="S53">
        <v>149.91</v>
      </c>
      <c r="T53" s="1" t="s">
        <v>34</v>
      </c>
      <c r="U53" s="1" t="s">
        <v>33</v>
      </c>
    </row>
    <row r="54" spans="1:21" ht="28.8" x14ac:dyDescent="0.3">
      <c r="A54">
        <v>2021</v>
      </c>
      <c r="B54">
        <v>1</v>
      </c>
      <c r="C54">
        <v>32467</v>
      </c>
      <c r="D54">
        <v>33342</v>
      </c>
      <c r="E54" t="s">
        <v>22</v>
      </c>
      <c r="F54" t="s">
        <v>21</v>
      </c>
      <c r="G54">
        <v>11697</v>
      </c>
      <c r="H54">
        <v>11259</v>
      </c>
      <c r="I54" t="s">
        <v>24</v>
      </c>
      <c r="J54" t="s">
        <v>23</v>
      </c>
      <c r="K54">
        <v>1121</v>
      </c>
      <c r="L54">
        <v>150</v>
      </c>
      <c r="M54">
        <v>175.11</v>
      </c>
      <c r="N54" t="s">
        <v>36</v>
      </c>
      <c r="O54">
        <v>0.31</v>
      </c>
      <c r="P54">
        <v>152.59</v>
      </c>
      <c r="Q54" t="s">
        <v>36</v>
      </c>
      <c r="R54">
        <v>0.31</v>
      </c>
      <c r="S54">
        <v>152.59</v>
      </c>
      <c r="T54" s="1" t="s">
        <v>34</v>
      </c>
      <c r="U54" s="1" t="s">
        <v>33</v>
      </c>
    </row>
    <row r="55" spans="1:21" ht="28.8" x14ac:dyDescent="0.3">
      <c r="A55">
        <v>2021</v>
      </c>
      <c r="B55">
        <v>3</v>
      </c>
      <c r="C55">
        <v>32467</v>
      </c>
      <c r="D55">
        <v>33342</v>
      </c>
      <c r="E55" t="s">
        <v>22</v>
      </c>
      <c r="F55" t="s">
        <v>21</v>
      </c>
      <c r="G55">
        <v>13303</v>
      </c>
      <c r="H55">
        <v>11259</v>
      </c>
      <c r="I55" t="s">
        <v>26</v>
      </c>
      <c r="J55" t="s">
        <v>23</v>
      </c>
      <c r="K55">
        <v>1121</v>
      </c>
      <c r="L55">
        <v>134</v>
      </c>
      <c r="M55">
        <v>144.72999999999999</v>
      </c>
      <c r="N55" t="s">
        <v>36</v>
      </c>
      <c r="O55">
        <v>0.28000000000000003</v>
      </c>
      <c r="P55">
        <v>132.85</v>
      </c>
      <c r="Q55" t="s">
        <v>38</v>
      </c>
      <c r="R55">
        <v>0.18</v>
      </c>
      <c r="S55">
        <v>116.8</v>
      </c>
      <c r="T55" s="1" t="s">
        <v>34</v>
      </c>
      <c r="U55" s="1" t="s">
        <v>33</v>
      </c>
    </row>
    <row r="56" spans="1:21" ht="28.8" x14ac:dyDescent="0.3">
      <c r="A56">
        <v>2021</v>
      </c>
      <c r="B56">
        <v>3</v>
      </c>
      <c r="C56">
        <v>32467</v>
      </c>
      <c r="D56">
        <v>33342</v>
      </c>
      <c r="E56" t="s">
        <v>22</v>
      </c>
      <c r="F56" t="s">
        <v>21</v>
      </c>
      <c r="G56">
        <v>11697</v>
      </c>
      <c r="H56">
        <v>11259</v>
      </c>
      <c r="I56" t="s">
        <v>24</v>
      </c>
      <c r="J56" t="s">
        <v>23</v>
      </c>
      <c r="K56">
        <v>1121</v>
      </c>
      <c r="L56">
        <v>124</v>
      </c>
      <c r="M56">
        <v>146.43</v>
      </c>
      <c r="N56" t="s">
        <v>31</v>
      </c>
      <c r="O56">
        <v>0.35</v>
      </c>
      <c r="P56">
        <v>156.13</v>
      </c>
      <c r="Q56" t="s">
        <v>38</v>
      </c>
      <c r="R56">
        <v>0.28000000000000003</v>
      </c>
      <c r="S56">
        <v>130.33000000000001</v>
      </c>
      <c r="T56" s="1" t="s">
        <v>34</v>
      </c>
      <c r="U56" s="1" t="s">
        <v>33</v>
      </c>
    </row>
    <row r="57" spans="1:21" ht="28.8" x14ac:dyDescent="0.3">
      <c r="A57">
        <v>2021</v>
      </c>
      <c r="B57">
        <v>2</v>
      </c>
      <c r="C57">
        <v>32467</v>
      </c>
      <c r="D57">
        <v>33342</v>
      </c>
      <c r="E57" t="s">
        <v>22</v>
      </c>
      <c r="F57" t="s">
        <v>21</v>
      </c>
      <c r="G57">
        <v>13303</v>
      </c>
      <c r="H57">
        <v>11259</v>
      </c>
      <c r="I57" t="s">
        <v>26</v>
      </c>
      <c r="J57" t="s">
        <v>23</v>
      </c>
      <c r="K57">
        <v>1121</v>
      </c>
      <c r="L57">
        <v>160</v>
      </c>
      <c r="M57">
        <v>123.12</v>
      </c>
      <c r="N57" t="s">
        <v>36</v>
      </c>
      <c r="O57">
        <v>0.27</v>
      </c>
      <c r="P57">
        <v>127.3</v>
      </c>
      <c r="Q57" t="s">
        <v>37</v>
      </c>
      <c r="R57">
        <v>0.14000000000000001</v>
      </c>
      <c r="S57">
        <v>111.64</v>
      </c>
      <c r="T57" s="1" t="s">
        <v>34</v>
      </c>
      <c r="U57" s="1" t="s">
        <v>33</v>
      </c>
    </row>
    <row r="58" spans="1:21" ht="28.8" x14ac:dyDescent="0.3">
      <c r="A58">
        <v>2021</v>
      </c>
      <c r="B58">
        <v>2</v>
      </c>
      <c r="C58">
        <v>32467</v>
      </c>
      <c r="D58">
        <v>33342</v>
      </c>
      <c r="E58" t="s">
        <v>22</v>
      </c>
      <c r="F58" t="s">
        <v>21</v>
      </c>
      <c r="G58">
        <v>13303</v>
      </c>
      <c r="H58">
        <v>11259</v>
      </c>
      <c r="I58" t="s">
        <v>26</v>
      </c>
      <c r="J58" t="s">
        <v>23</v>
      </c>
      <c r="K58">
        <v>1121</v>
      </c>
      <c r="L58">
        <v>64</v>
      </c>
      <c r="M58">
        <v>223.71</v>
      </c>
      <c r="N58" t="s">
        <v>31</v>
      </c>
      <c r="O58">
        <v>0.55000000000000004</v>
      </c>
      <c r="P58">
        <v>226.63</v>
      </c>
      <c r="Q58" t="s">
        <v>28</v>
      </c>
      <c r="R58">
        <v>0.25</v>
      </c>
      <c r="S58">
        <v>217.27</v>
      </c>
      <c r="T58" s="1" t="s">
        <v>34</v>
      </c>
      <c r="U58" s="1" t="s">
        <v>33</v>
      </c>
    </row>
    <row r="59" spans="1:21" ht="28.8" x14ac:dyDescent="0.3">
      <c r="A59">
        <v>2021</v>
      </c>
      <c r="B59">
        <v>2</v>
      </c>
      <c r="C59">
        <v>32467</v>
      </c>
      <c r="D59">
        <v>33342</v>
      </c>
      <c r="E59" t="s">
        <v>22</v>
      </c>
      <c r="F59" t="s">
        <v>21</v>
      </c>
      <c r="G59">
        <v>13303</v>
      </c>
      <c r="H59">
        <v>11259</v>
      </c>
      <c r="I59" t="s">
        <v>26</v>
      </c>
      <c r="J59" t="s">
        <v>23</v>
      </c>
      <c r="K59">
        <v>1121</v>
      </c>
      <c r="L59">
        <v>190</v>
      </c>
      <c r="M59">
        <v>123.97</v>
      </c>
      <c r="N59" t="s">
        <v>36</v>
      </c>
      <c r="O59">
        <v>0.28999999999999998</v>
      </c>
      <c r="P59">
        <v>125.16</v>
      </c>
      <c r="Q59" t="s">
        <v>37</v>
      </c>
      <c r="R59">
        <v>0.2</v>
      </c>
      <c r="S59">
        <v>115.07</v>
      </c>
      <c r="T59" s="1" t="s">
        <v>34</v>
      </c>
      <c r="U59" s="1" t="s">
        <v>33</v>
      </c>
    </row>
    <row r="60" spans="1:21" ht="28.8" x14ac:dyDescent="0.3">
      <c r="A60">
        <v>2021</v>
      </c>
      <c r="B60">
        <v>1</v>
      </c>
      <c r="C60">
        <v>32467</v>
      </c>
      <c r="D60">
        <v>33342</v>
      </c>
      <c r="E60" t="s">
        <v>22</v>
      </c>
      <c r="F60" t="s">
        <v>21</v>
      </c>
      <c r="G60">
        <v>11697</v>
      </c>
      <c r="H60">
        <v>11259</v>
      </c>
      <c r="I60" t="s">
        <v>24</v>
      </c>
      <c r="J60" t="s">
        <v>23</v>
      </c>
      <c r="K60">
        <v>1121</v>
      </c>
      <c r="L60">
        <v>239</v>
      </c>
      <c r="M60">
        <v>127.19</v>
      </c>
      <c r="N60" t="s">
        <v>36</v>
      </c>
      <c r="O60">
        <v>0.24</v>
      </c>
      <c r="P60">
        <v>113.61</v>
      </c>
      <c r="Q60" t="s">
        <v>36</v>
      </c>
      <c r="R60">
        <v>0.24</v>
      </c>
      <c r="S60">
        <v>113.61</v>
      </c>
      <c r="T60" s="1" t="s">
        <v>34</v>
      </c>
      <c r="U60" s="1" t="s">
        <v>33</v>
      </c>
    </row>
    <row r="61" spans="1:21" ht="28.8" x14ac:dyDescent="0.3">
      <c r="A61">
        <v>2021</v>
      </c>
      <c r="B61">
        <v>1</v>
      </c>
      <c r="C61">
        <v>32467</v>
      </c>
      <c r="D61">
        <v>33342</v>
      </c>
      <c r="E61" t="s">
        <v>22</v>
      </c>
      <c r="F61" t="s">
        <v>21</v>
      </c>
      <c r="G61">
        <v>13303</v>
      </c>
      <c r="H61">
        <v>11259</v>
      </c>
      <c r="I61" t="s">
        <v>26</v>
      </c>
      <c r="J61" t="s">
        <v>23</v>
      </c>
      <c r="K61">
        <v>1121</v>
      </c>
      <c r="L61">
        <v>203</v>
      </c>
      <c r="M61">
        <v>180.75</v>
      </c>
      <c r="N61" t="s">
        <v>36</v>
      </c>
      <c r="O61">
        <v>0.47</v>
      </c>
      <c r="P61">
        <v>135.12</v>
      </c>
      <c r="Q61" t="s">
        <v>36</v>
      </c>
      <c r="R61">
        <v>0.47</v>
      </c>
      <c r="S61">
        <v>135.12</v>
      </c>
      <c r="T61" s="1" t="s">
        <v>34</v>
      </c>
      <c r="U61" s="1" t="s">
        <v>33</v>
      </c>
    </row>
    <row r="62" spans="1:21" ht="28.8" x14ac:dyDescent="0.3">
      <c r="A62">
        <v>2021</v>
      </c>
      <c r="B62">
        <v>1</v>
      </c>
      <c r="C62">
        <v>32467</v>
      </c>
      <c r="D62">
        <v>33342</v>
      </c>
      <c r="E62" t="s">
        <v>22</v>
      </c>
      <c r="F62" t="s">
        <v>21</v>
      </c>
      <c r="G62">
        <v>13303</v>
      </c>
      <c r="H62">
        <v>11259</v>
      </c>
      <c r="I62" t="s">
        <v>26</v>
      </c>
      <c r="J62" t="s">
        <v>23</v>
      </c>
      <c r="K62">
        <v>1121</v>
      </c>
      <c r="L62">
        <v>92</v>
      </c>
      <c r="M62">
        <v>220.63</v>
      </c>
      <c r="N62" t="s">
        <v>31</v>
      </c>
      <c r="O62">
        <v>0.54</v>
      </c>
      <c r="P62">
        <v>224.58</v>
      </c>
      <c r="Q62" t="s">
        <v>37</v>
      </c>
      <c r="R62">
        <v>0.13</v>
      </c>
      <c r="S62">
        <v>181.4</v>
      </c>
      <c r="T62" s="1" t="s">
        <v>34</v>
      </c>
      <c r="U62" s="1" t="s">
        <v>33</v>
      </c>
    </row>
    <row r="63" spans="1:21" ht="28.8" x14ac:dyDescent="0.3">
      <c r="A63">
        <v>2021</v>
      </c>
      <c r="B63">
        <v>4</v>
      </c>
      <c r="C63">
        <v>32467</v>
      </c>
      <c r="D63">
        <v>33342</v>
      </c>
      <c r="E63" t="s">
        <v>22</v>
      </c>
      <c r="F63" t="s">
        <v>21</v>
      </c>
      <c r="G63">
        <v>11697</v>
      </c>
      <c r="H63">
        <v>11259</v>
      </c>
      <c r="I63" t="s">
        <v>24</v>
      </c>
      <c r="J63" t="s">
        <v>23</v>
      </c>
      <c r="K63">
        <v>1121</v>
      </c>
      <c r="L63">
        <v>234</v>
      </c>
      <c r="M63">
        <v>137.36000000000001</v>
      </c>
      <c r="N63" t="s">
        <v>42</v>
      </c>
      <c r="O63">
        <v>0.31</v>
      </c>
      <c r="P63">
        <v>148.47</v>
      </c>
      <c r="Q63" t="s">
        <v>31</v>
      </c>
      <c r="R63">
        <v>0.23</v>
      </c>
      <c r="S63">
        <v>128.34</v>
      </c>
      <c r="T63" s="1" t="s">
        <v>34</v>
      </c>
      <c r="U63" s="1" t="s">
        <v>33</v>
      </c>
    </row>
    <row r="64" spans="1:21" ht="28.8" x14ac:dyDescent="0.3">
      <c r="A64">
        <v>2021</v>
      </c>
      <c r="B64">
        <v>1</v>
      </c>
      <c r="C64">
        <v>32467</v>
      </c>
      <c r="D64">
        <v>33342</v>
      </c>
      <c r="E64" t="s">
        <v>22</v>
      </c>
      <c r="F64" t="s">
        <v>21</v>
      </c>
      <c r="G64">
        <v>13303</v>
      </c>
      <c r="H64">
        <v>11259</v>
      </c>
      <c r="I64" t="s">
        <v>26</v>
      </c>
      <c r="J64" t="s">
        <v>23</v>
      </c>
      <c r="K64">
        <v>1121</v>
      </c>
      <c r="L64">
        <v>112</v>
      </c>
      <c r="M64">
        <v>197.4</v>
      </c>
      <c r="N64" t="s">
        <v>31</v>
      </c>
      <c r="O64">
        <v>0.6</v>
      </c>
      <c r="P64">
        <v>189.64</v>
      </c>
      <c r="Q64" t="s">
        <v>31</v>
      </c>
      <c r="R64">
        <v>0.6</v>
      </c>
      <c r="S64">
        <v>189.64</v>
      </c>
      <c r="T64" s="1" t="s">
        <v>34</v>
      </c>
      <c r="U64" s="1" t="s">
        <v>33</v>
      </c>
    </row>
    <row r="65" spans="1:21" ht="28.8" x14ac:dyDescent="0.3">
      <c r="A65">
        <v>2021</v>
      </c>
      <c r="B65">
        <v>2</v>
      </c>
      <c r="C65">
        <v>32467</v>
      </c>
      <c r="D65">
        <v>33342</v>
      </c>
      <c r="E65" t="s">
        <v>22</v>
      </c>
      <c r="F65" t="s">
        <v>21</v>
      </c>
      <c r="G65">
        <v>11697</v>
      </c>
      <c r="H65">
        <v>11259</v>
      </c>
      <c r="I65" t="s">
        <v>24</v>
      </c>
      <c r="J65" t="s">
        <v>23</v>
      </c>
      <c r="K65">
        <v>1121</v>
      </c>
      <c r="L65">
        <v>277</v>
      </c>
      <c r="M65">
        <v>117.91</v>
      </c>
      <c r="N65" t="s">
        <v>35</v>
      </c>
      <c r="O65">
        <v>0.28000000000000003</v>
      </c>
      <c r="P65">
        <v>105.93</v>
      </c>
      <c r="Q65" t="s">
        <v>35</v>
      </c>
      <c r="R65">
        <v>0.28000000000000003</v>
      </c>
      <c r="S65">
        <v>105.93</v>
      </c>
      <c r="T65" s="1" t="s">
        <v>34</v>
      </c>
      <c r="U65" s="1" t="s">
        <v>33</v>
      </c>
    </row>
    <row r="66" spans="1:21" ht="28.8" x14ac:dyDescent="0.3">
      <c r="A66">
        <v>2021</v>
      </c>
      <c r="B66">
        <v>3</v>
      </c>
      <c r="C66">
        <v>32467</v>
      </c>
      <c r="D66">
        <v>33342</v>
      </c>
      <c r="E66" t="s">
        <v>22</v>
      </c>
      <c r="F66" t="s">
        <v>21</v>
      </c>
      <c r="G66">
        <v>13303</v>
      </c>
      <c r="H66">
        <v>11259</v>
      </c>
      <c r="I66" t="s">
        <v>26</v>
      </c>
      <c r="J66" t="s">
        <v>23</v>
      </c>
      <c r="K66">
        <v>1121</v>
      </c>
      <c r="L66">
        <v>70</v>
      </c>
      <c r="M66">
        <v>156.88999999999999</v>
      </c>
      <c r="N66" t="s">
        <v>31</v>
      </c>
      <c r="O66">
        <v>0.33</v>
      </c>
      <c r="P66">
        <v>147.25</v>
      </c>
      <c r="Q66" t="s">
        <v>36</v>
      </c>
      <c r="R66">
        <v>0.23</v>
      </c>
      <c r="S66">
        <v>145.78</v>
      </c>
      <c r="T66" s="1" t="s">
        <v>34</v>
      </c>
      <c r="U66" s="1" t="s">
        <v>33</v>
      </c>
    </row>
    <row r="67" spans="1:21" ht="28.8" x14ac:dyDescent="0.3">
      <c r="A67">
        <v>2021</v>
      </c>
      <c r="B67">
        <v>2</v>
      </c>
      <c r="C67">
        <v>32467</v>
      </c>
      <c r="D67">
        <v>33342</v>
      </c>
      <c r="E67" t="s">
        <v>22</v>
      </c>
      <c r="F67" t="s">
        <v>21</v>
      </c>
      <c r="G67">
        <v>11697</v>
      </c>
      <c r="H67">
        <v>11259</v>
      </c>
      <c r="I67" t="s">
        <v>24</v>
      </c>
      <c r="J67" t="s">
        <v>23</v>
      </c>
      <c r="K67">
        <v>1121</v>
      </c>
      <c r="L67">
        <v>169</v>
      </c>
      <c r="M67">
        <v>158.46</v>
      </c>
      <c r="N67" t="s">
        <v>38</v>
      </c>
      <c r="O67">
        <v>0.23</v>
      </c>
      <c r="P67">
        <v>121.52</v>
      </c>
      <c r="Q67" t="s">
        <v>38</v>
      </c>
      <c r="R67">
        <v>0.23</v>
      </c>
      <c r="S67">
        <v>121.52</v>
      </c>
      <c r="T67" s="1" t="s">
        <v>34</v>
      </c>
      <c r="U67" s="1" t="s">
        <v>33</v>
      </c>
    </row>
    <row r="68" spans="1:21" ht="28.8" x14ac:dyDescent="0.3">
      <c r="A68">
        <v>2021</v>
      </c>
      <c r="B68">
        <v>2</v>
      </c>
      <c r="C68">
        <v>32467</v>
      </c>
      <c r="D68">
        <v>33342</v>
      </c>
      <c r="E68" t="s">
        <v>22</v>
      </c>
      <c r="F68" t="s">
        <v>21</v>
      </c>
      <c r="G68">
        <v>11697</v>
      </c>
      <c r="H68">
        <v>11259</v>
      </c>
      <c r="I68" t="s">
        <v>24</v>
      </c>
      <c r="J68" t="s">
        <v>23</v>
      </c>
      <c r="K68">
        <v>1121</v>
      </c>
      <c r="L68">
        <v>128</v>
      </c>
      <c r="M68">
        <v>131.97999999999999</v>
      </c>
      <c r="N68" t="s">
        <v>31</v>
      </c>
      <c r="O68">
        <v>0.26</v>
      </c>
      <c r="P68">
        <v>127.74</v>
      </c>
      <c r="Q68" t="s">
        <v>38</v>
      </c>
      <c r="R68">
        <v>0.14000000000000001</v>
      </c>
      <c r="S68">
        <v>120.52</v>
      </c>
      <c r="T68" s="1" t="s">
        <v>34</v>
      </c>
      <c r="U68" s="1" t="s">
        <v>33</v>
      </c>
    </row>
    <row r="69" spans="1:21" ht="28.8" x14ac:dyDescent="0.3">
      <c r="A69">
        <v>2021</v>
      </c>
      <c r="B69">
        <v>4</v>
      </c>
      <c r="C69">
        <v>32467</v>
      </c>
      <c r="D69">
        <v>33342</v>
      </c>
      <c r="E69" t="s">
        <v>22</v>
      </c>
      <c r="F69" t="s">
        <v>21</v>
      </c>
      <c r="G69">
        <v>13303</v>
      </c>
      <c r="H69">
        <v>11259</v>
      </c>
      <c r="I69" t="s">
        <v>26</v>
      </c>
      <c r="J69" t="s">
        <v>23</v>
      </c>
      <c r="K69">
        <v>1121</v>
      </c>
      <c r="L69">
        <v>71</v>
      </c>
      <c r="M69">
        <v>225.13</v>
      </c>
      <c r="N69" t="s">
        <v>31</v>
      </c>
      <c r="O69">
        <v>0.61</v>
      </c>
      <c r="P69">
        <v>208.38</v>
      </c>
      <c r="Q69" t="s">
        <v>31</v>
      </c>
      <c r="R69">
        <v>0.61</v>
      </c>
      <c r="S69">
        <v>208.38</v>
      </c>
      <c r="T69" s="1" t="s">
        <v>34</v>
      </c>
      <c r="U69" s="1" t="s">
        <v>33</v>
      </c>
    </row>
    <row r="70" spans="1:21" ht="28.8" x14ac:dyDescent="0.3">
      <c r="A70">
        <v>2021</v>
      </c>
      <c r="B70">
        <v>3</v>
      </c>
      <c r="C70">
        <v>32467</v>
      </c>
      <c r="D70">
        <v>33342</v>
      </c>
      <c r="E70" t="s">
        <v>22</v>
      </c>
      <c r="F70" t="s">
        <v>21</v>
      </c>
      <c r="G70">
        <v>11697</v>
      </c>
      <c r="H70">
        <v>11259</v>
      </c>
      <c r="I70" t="s">
        <v>24</v>
      </c>
      <c r="J70" t="s">
        <v>23</v>
      </c>
      <c r="K70">
        <v>1121</v>
      </c>
      <c r="L70">
        <v>167</v>
      </c>
      <c r="M70">
        <v>141.47999999999999</v>
      </c>
      <c r="N70" t="s">
        <v>35</v>
      </c>
      <c r="O70">
        <v>0.22</v>
      </c>
      <c r="P70">
        <v>118.87</v>
      </c>
      <c r="Q70" t="s">
        <v>35</v>
      </c>
      <c r="R70">
        <v>0.22</v>
      </c>
      <c r="S70">
        <v>118.87</v>
      </c>
      <c r="T70" s="1" t="s">
        <v>34</v>
      </c>
      <c r="U70" s="1" t="s">
        <v>33</v>
      </c>
    </row>
    <row r="71" spans="1:21" ht="28.8" x14ac:dyDescent="0.3">
      <c r="A71">
        <v>2021</v>
      </c>
      <c r="B71">
        <v>4</v>
      </c>
      <c r="C71">
        <v>32467</v>
      </c>
      <c r="D71">
        <v>33342</v>
      </c>
      <c r="E71" t="s">
        <v>22</v>
      </c>
      <c r="F71" t="s">
        <v>21</v>
      </c>
      <c r="G71">
        <v>11697</v>
      </c>
      <c r="H71">
        <v>11259</v>
      </c>
      <c r="I71" t="s">
        <v>24</v>
      </c>
      <c r="J71" t="s">
        <v>23</v>
      </c>
      <c r="K71">
        <v>1121</v>
      </c>
      <c r="L71">
        <v>255</v>
      </c>
      <c r="M71">
        <v>131.57</v>
      </c>
      <c r="N71" t="s">
        <v>31</v>
      </c>
      <c r="O71">
        <v>0.3</v>
      </c>
      <c r="P71">
        <v>124.73</v>
      </c>
      <c r="Q71" t="s">
        <v>31</v>
      </c>
      <c r="R71">
        <v>0.3</v>
      </c>
      <c r="S71">
        <v>124.73</v>
      </c>
      <c r="T71" s="1" t="s">
        <v>34</v>
      </c>
      <c r="U71" s="1" t="s">
        <v>33</v>
      </c>
    </row>
    <row r="72" spans="1:21" ht="28.8" x14ac:dyDescent="0.3">
      <c r="A72">
        <v>2021</v>
      </c>
      <c r="B72">
        <v>4</v>
      </c>
      <c r="C72">
        <v>32467</v>
      </c>
      <c r="D72">
        <v>33342</v>
      </c>
      <c r="E72" t="s">
        <v>22</v>
      </c>
      <c r="F72" t="s">
        <v>21</v>
      </c>
      <c r="G72">
        <v>13303</v>
      </c>
      <c r="H72">
        <v>11259</v>
      </c>
      <c r="I72" t="s">
        <v>26</v>
      </c>
      <c r="J72" t="s">
        <v>23</v>
      </c>
      <c r="K72">
        <v>1121</v>
      </c>
      <c r="L72">
        <v>120</v>
      </c>
      <c r="M72">
        <v>175.4</v>
      </c>
      <c r="N72" t="s">
        <v>36</v>
      </c>
      <c r="O72">
        <v>0.45</v>
      </c>
      <c r="P72">
        <v>173.39</v>
      </c>
      <c r="Q72" t="s">
        <v>36</v>
      </c>
      <c r="R72">
        <v>0.45</v>
      </c>
      <c r="S72">
        <v>173.39</v>
      </c>
      <c r="T72" s="1" t="s">
        <v>34</v>
      </c>
      <c r="U72" s="1" t="s">
        <v>33</v>
      </c>
    </row>
    <row r="73" spans="1:21" ht="28.8" x14ac:dyDescent="0.3">
      <c r="A73">
        <v>2021</v>
      </c>
      <c r="B73">
        <v>4</v>
      </c>
      <c r="C73">
        <v>32467</v>
      </c>
      <c r="D73">
        <v>33342</v>
      </c>
      <c r="E73" t="s">
        <v>22</v>
      </c>
      <c r="F73" t="s">
        <v>21</v>
      </c>
      <c r="G73">
        <v>13303</v>
      </c>
      <c r="H73">
        <v>11259</v>
      </c>
      <c r="I73" t="s">
        <v>26</v>
      </c>
      <c r="J73" t="s">
        <v>23</v>
      </c>
      <c r="K73">
        <v>1121</v>
      </c>
      <c r="L73">
        <v>149</v>
      </c>
      <c r="M73">
        <v>169.57</v>
      </c>
      <c r="N73" t="s">
        <v>36</v>
      </c>
      <c r="O73">
        <v>0.33</v>
      </c>
      <c r="P73">
        <v>167.97</v>
      </c>
      <c r="Q73" t="s">
        <v>37</v>
      </c>
      <c r="R73">
        <v>0.1</v>
      </c>
      <c r="S73">
        <v>151.96</v>
      </c>
      <c r="T73" s="1" t="s">
        <v>34</v>
      </c>
      <c r="U73" s="1" t="s">
        <v>33</v>
      </c>
    </row>
    <row r="74" spans="1:21" ht="28.8" x14ac:dyDescent="0.3">
      <c r="A74">
        <v>2021</v>
      </c>
      <c r="B74">
        <v>2</v>
      </c>
      <c r="C74">
        <v>32467</v>
      </c>
      <c r="D74">
        <v>33342</v>
      </c>
      <c r="E74" t="s">
        <v>22</v>
      </c>
      <c r="F74" t="s">
        <v>21</v>
      </c>
      <c r="G74">
        <v>13303</v>
      </c>
      <c r="H74">
        <v>11259</v>
      </c>
      <c r="I74" t="s">
        <v>26</v>
      </c>
      <c r="J74" t="s">
        <v>23</v>
      </c>
      <c r="K74">
        <v>1121</v>
      </c>
      <c r="L74">
        <v>119</v>
      </c>
      <c r="M74">
        <v>188.58</v>
      </c>
      <c r="N74" t="s">
        <v>36</v>
      </c>
      <c r="O74">
        <v>0.27</v>
      </c>
      <c r="P74">
        <v>179.38</v>
      </c>
      <c r="Q74" t="s">
        <v>36</v>
      </c>
      <c r="R74">
        <v>0.27</v>
      </c>
      <c r="S74">
        <v>179.38</v>
      </c>
      <c r="T74" s="1" t="s">
        <v>34</v>
      </c>
      <c r="U74" s="1" t="s">
        <v>33</v>
      </c>
    </row>
    <row r="75" spans="1:21" ht="28.8" x14ac:dyDescent="0.3">
      <c r="A75">
        <v>2021</v>
      </c>
      <c r="B75">
        <v>4</v>
      </c>
      <c r="C75">
        <v>32467</v>
      </c>
      <c r="D75">
        <v>33342</v>
      </c>
      <c r="E75" t="s">
        <v>22</v>
      </c>
      <c r="F75" t="s">
        <v>21</v>
      </c>
      <c r="G75">
        <v>13303</v>
      </c>
      <c r="H75">
        <v>11259</v>
      </c>
      <c r="I75" t="s">
        <v>26</v>
      </c>
      <c r="J75" t="s">
        <v>23</v>
      </c>
      <c r="K75">
        <v>1121</v>
      </c>
      <c r="L75">
        <v>170</v>
      </c>
      <c r="M75">
        <v>130.94999999999999</v>
      </c>
      <c r="N75" t="s">
        <v>36</v>
      </c>
      <c r="O75">
        <v>0.44</v>
      </c>
      <c r="P75">
        <v>128.47</v>
      </c>
      <c r="Q75" t="s">
        <v>28</v>
      </c>
      <c r="R75">
        <v>0.25</v>
      </c>
      <c r="S75">
        <v>122.02</v>
      </c>
      <c r="T75" s="1" t="s">
        <v>34</v>
      </c>
      <c r="U75" s="1" t="s">
        <v>33</v>
      </c>
    </row>
    <row r="76" spans="1:21" ht="28.8" x14ac:dyDescent="0.3">
      <c r="A76">
        <v>2021</v>
      </c>
      <c r="B76">
        <v>2</v>
      </c>
      <c r="C76">
        <v>32467</v>
      </c>
      <c r="D76">
        <v>33342</v>
      </c>
      <c r="E76" t="s">
        <v>22</v>
      </c>
      <c r="F76" t="s">
        <v>21</v>
      </c>
      <c r="G76">
        <v>11697</v>
      </c>
      <c r="H76">
        <v>11259</v>
      </c>
      <c r="I76" t="s">
        <v>24</v>
      </c>
      <c r="J76" t="s">
        <v>23</v>
      </c>
      <c r="K76">
        <v>1121</v>
      </c>
      <c r="L76">
        <v>170</v>
      </c>
      <c r="M76">
        <v>143.88999999999999</v>
      </c>
      <c r="N76" t="s">
        <v>31</v>
      </c>
      <c r="O76">
        <v>0.3</v>
      </c>
      <c r="P76">
        <v>145.97999999999999</v>
      </c>
      <c r="Q76" t="s">
        <v>38</v>
      </c>
      <c r="R76">
        <v>0.11</v>
      </c>
      <c r="S76">
        <v>120.92</v>
      </c>
      <c r="T76" s="1" t="s">
        <v>34</v>
      </c>
      <c r="U76" s="1" t="s">
        <v>33</v>
      </c>
    </row>
    <row r="77" spans="1:21" ht="28.8" x14ac:dyDescent="0.3">
      <c r="A77">
        <v>2021</v>
      </c>
      <c r="B77">
        <v>1</v>
      </c>
      <c r="C77">
        <v>32467</v>
      </c>
      <c r="D77">
        <v>33342</v>
      </c>
      <c r="E77" t="s">
        <v>22</v>
      </c>
      <c r="F77" t="s">
        <v>21</v>
      </c>
      <c r="G77">
        <v>11697</v>
      </c>
      <c r="H77">
        <v>11259</v>
      </c>
      <c r="I77" t="s">
        <v>24</v>
      </c>
      <c r="J77" t="s">
        <v>23</v>
      </c>
      <c r="K77">
        <v>1121</v>
      </c>
      <c r="L77">
        <v>528</v>
      </c>
      <c r="M77">
        <v>184.9</v>
      </c>
      <c r="N77" t="s">
        <v>35</v>
      </c>
      <c r="O77">
        <v>0.45</v>
      </c>
      <c r="P77">
        <v>187.15</v>
      </c>
      <c r="Q77" t="s">
        <v>25</v>
      </c>
      <c r="R77">
        <v>0.25</v>
      </c>
      <c r="S77">
        <v>168.92</v>
      </c>
      <c r="T77" s="1" t="s">
        <v>34</v>
      </c>
      <c r="U77" s="1" t="s">
        <v>33</v>
      </c>
    </row>
    <row r="78" spans="1:21" ht="28.8" x14ac:dyDescent="0.3">
      <c r="A78">
        <v>2021</v>
      </c>
      <c r="B78">
        <v>3</v>
      </c>
      <c r="C78">
        <v>32467</v>
      </c>
      <c r="D78">
        <v>33342</v>
      </c>
      <c r="E78" t="s">
        <v>22</v>
      </c>
      <c r="F78" t="s">
        <v>21</v>
      </c>
      <c r="G78">
        <v>11697</v>
      </c>
      <c r="H78">
        <v>11259</v>
      </c>
      <c r="I78" t="s">
        <v>24</v>
      </c>
      <c r="J78" t="s">
        <v>23</v>
      </c>
      <c r="K78">
        <v>1121</v>
      </c>
      <c r="L78">
        <v>261</v>
      </c>
      <c r="M78">
        <v>157.38</v>
      </c>
      <c r="N78" t="s">
        <v>35</v>
      </c>
      <c r="O78">
        <v>0.76</v>
      </c>
      <c r="P78">
        <v>149.56</v>
      </c>
      <c r="Q78" t="s">
        <v>35</v>
      </c>
      <c r="R78">
        <v>0.76</v>
      </c>
      <c r="S78">
        <v>149.56</v>
      </c>
      <c r="T78" s="1" t="s">
        <v>34</v>
      </c>
      <c r="U78" s="1" t="s">
        <v>33</v>
      </c>
    </row>
    <row r="79" spans="1:21" ht="28.8" x14ac:dyDescent="0.3">
      <c r="A79">
        <v>2021</v>
      </c>
      <c r="B79">
        <v>1</v>
      </c>
      <c r="C79">
        <v>32467</v>
      </c>
      <c r="D79">
        <v>33342</v>
      </c>
      <c r="E79" t="s">
        <v>22</v>
      </c>
      <c r="F79" t="s">
        <v>21</v>
      </c>
      <c r="G79">
        <v>13303</v>
      </c>
      <c r="H79">
        <v>11259</v>
      </c>
      <c r="I79" t="s">
        <v>26</v>
      </c>
      <c r="J79" t="s">
        <v>23</v>
      </c>
      <c r="K79">
        <v>1121</v>
      </c>
      <c r="L79">
        <v>180</v>
      </c>
      <c r="M79">
        <v>162.9</v>
      </c>
      <c r="N79" t="s">
        <v>31</v>
      </c>
      <c r="O79">
        <v>0.34</v>
      </c>
      <c r="P79">
        <v>151</v>
      </c>
      <c r="Q79" t="s">
        <v>38</v>
      </c>
      <c r="R79">
        <v>0.15</v>
      </c>
      <c r="S79">
        <v>131.93</v>
      </c>
      <c r="T79" s="1" t="s">
        <v>34</v>
      </c>
      <c r="U79" s="1" t="s">
        <v>33</v>
      </c>
    </row>
    <row r="80" spans="1:21" ht="28.8" x14ac:dyDescent="0.3">
      <c r="A80">
        <v>2021</v>
      </c>
      <c r="B80">
        <v>1</v>
      </c>
      <c r="C80">
        <v>32467</v>
      </c>
      <c r="D80">
        <v>33342</v>
      </c>
      <c r="E80" t="s">
        <v>22</v>
      </c>
      <c r="F80" t="s">
        <v>21</v>
      </c>
      <c r="G80">
        <v>13303</v>
      </c>
      <c r="H80">
        <v>11259</v>
      </c>
      <c r="I80" t="s">
        <v>26</v>
      </c>
      <c r="J80" t="s">
        <v>23</v>
      </c>
      <c r="K80">
        <v>1121</v>
      </c>
      <c r="L80">
        <v>139</v>
      </c>
      <c r="M80">
        <v>171.06</v>
      </c>
      <c r="N80" t="s">
        <v>31</v>
      </c>
      <c r="O80">
        <v>0.34</v>
      </c>
      <c r="P80">
        <v>152.26</v>
      </c>
      <c r="Q80" t="s">
        <v>31</v>
      </c>
      <c r="R80">
        <v>0.34</v>
      </c>
      <c r="S80">
        <v>152.26</v>
      </c>
      <c r="T80" s="1" t="s">
        <v>34</v>
      </c>
      <c r="U80" s="1" t="s">
        <v>33</v>
      </c>
    </row>
    <row r="81" spans="1:21" ht="28.8" x14ac:dyDescent="0.3">
      <c r="A81">
        <v>2021</v>
      </c>
      <c r="B81">
        <v>2</v>
      </c>
      <c r="C81">
        <v>32467</v>
      </c>
      <c r="D81">
        <v>33342</v>
      </c>
      <c r="E81" t="s">
        <v>22</v>
      </c>
      <c r="F81" t="s">
        <v>21</v>
      </c>
      <c r="G81">
        <v>13303</v>
      </c>
      <c r="H81">
        <v>11259</v>
      </c>
      <c r="I81" t="s">
        <v>26</v>
      </c>
      <c r="J81" t="s">
        <v>23</v>
      </c>
      <c r="K81">
        <v>1121</v>
      </c>
      <c r="L81">
        <v>68</v>
      </c>
      <c r="M81">
        <v>195.28</v>
      </c>
      <c r="N81" t="s">
        <v>36</v>
      </c>
      <c r="O81">
        <v>0.28000000000000003</v>
      </c>
      <c r="P81">
        <v>187.61</v>
      </c>
      <c r="Q81" t="s">
        <v>35</v>
      </c>
      <c r="R81">
        <v>0.15</v>
      </c>
      <c r="S81">
        <v>163.24</v>
      </c>
      <c r="T81" s="1" t="s">
        <v>34</v>
      </c>
      <c r="U81" s="1" t="s">
        <v>33</v>
      </c>
    </row>
    <row r="82" spans="1:21" ht="28.8" x14ac:dyDescent="0.3">
      <c r="A82">
        <v>2021</v>
      </c>
      <c r="B82">
        <v>3</v>
      </c>
      <c r="C82">
        <v>32467</v>
      </c>
      <c r="D82">
        <v>33342</v>
      </c>
      <c r="E82" t="s">
        <v>22</v>
      </c>
      <c r="F82" t="s">
        <v>21</v>
      </c>
      <c r="G82">
        <v>11697</v>
      </c>
      <c r="H82">
        <v>11259</v>
      </c>
      <c r="I82" t="s">
        <v>24</v>
      </c>
      <c r="J82" t="s">
        <v>23</v>
      </c>
      <c r="K82">
        <v>1121</v>
      </c>
      <c r="L82">
        <v>74</v>
      </c>
      <c r="M82">
        <v>181.43</v>
      </c>
      <c r="N82" t="s">
        <v>31</v>
      </c>
      <c r="O82">
        <v>0.35</v>
      </c>
      <c r="P82">
        <v>196.4</v>
      </c>
      <c r="Q82" t="s">
        <v>28</v>
      </c>
      <c r="R82">
        <v>0.24</v>
      </c>
      <c r="S82">
        <v>172.46</v>
      </c>
      <c r="T82" s="1" t="s">
        <v>34</v>
      </c>
      <c r="U82" s="1" t="s">
        <v>33</v>
      </c>
    </row>
    <row r="83" spans="1:21" ht="28.8" x14ac:dyDescent="0.3">
      <c r="A83">
        <v>2021</v>
      </c>
      <c r="B83">
        <v>3</v>
      </c>
      <c r="C83">
        <v>32467</v>
      </c>
      <c r="D83">
        <v>33342</v>
      </c>
      <c r="E83" t="s">
        <v>22</v>
      </c>
      <c r="F83" t="s">
        <v>21</v>
      </c>
      <c r="G83">
        <v>13303</v>
      </c>
      <c r="H83">
        <v>11259</v>
      </c>
      <c r="I83" t="s">
        <v>26</v>
      </c>
      <c r="J83" t="s">
        <v>23</v>
      </c>
      <c r="K83">
        <v>1121</v>
      </c>
      <c r="L83">
        <v>61</v>
      </c>
      <c r="M83">
        <v>192.08</v>
      </c>
      <c r="N83" t="s">
        <v>31</v>
      </c>
      <c r="O83">
        <v>0.61</v>
      </c>
      <c r="P83">
        <v>178.69</v>
      </c>
      <c r="Q83" t="s">
        <v>31</v>
      </c>
      <c r="R83">
        <v>0.61</v>
      </c>
      <c r="S83">
        <v>178.69</v>
      </c>
      <c r="T83" s="1" t="s">
        <v>34</v>
      </c>
      <c r="U83" s="1" t="s">
        <v>33</v>
      </c>
    </row>
    <row r="84" spans="1:21" ht="28.8" x14ac:dyDescent="0.3">
      <c r="A84">
        <v>2021</v>
      </c>
      <c r="B84">
        <v>1</v>
      </c>
      <c r="C84">
        <v>32467</v>
      </c>
      <c r="D84">
        <v>33342</v>
      </c>
      <c r="E84" t="s">
        <v>22</v>
      </c>
      <c r="F84" t="s">
        <v>21</v>
      </c>
      <c r="G84">
        <v>11697</v>
      </c>
      <c r="H84">
        <v>11259</v>
      </c>
      <c r="I84" t="s">
        <v>24</v>
      </c>
      <c r="J84" t="s">
        <v>23</v>
      </c>
      <c r="K84">
        <v>1121</v>
      </c>
      <c r="L84">
        <v>323</v>
      </c>
      <c r="M84">
        <v>128.71</v>
      </c>
      <c r="N84" t="s">
        <v>44</v>
      </c>
      <c r="O84">
        <v>0.52</v>
      </c>
      <c r="P84">
        <v>112.21</v>
      </c>
      <c r="Q84" t="s">
        <v>44</v>
      </c>
      <c r="R84">
        <v>0.52</v>
      </c>
      <c r="S84">
        <v>112.21</v>
      </c>
      <c r="T84" s="1" t="s">
        <v>34</v>
      </c>
      <c r="U84" s="1" t="s">
        <v>33</v>
      </c>
    </row>
    <row r="85" spans="1:21" ht="28.8" x14ac:dyDescent="0.3">
      <c r="A85">
        <v>2021</v>
      </c>
      <c r="B85">
        <v>1</v>
      </c>
      <c r="C85">
        <v>32467</v>
      </c>
      <c r="D85">
        <v>33342</v>
      </c>
      <c r="E85" t="s">
        <v>22</v>
      </c>
      <c r="F85" t="s">
        <v>21</v>
      </c>
      <c r="G85">
        <v>13303</v>
      </c>
      <c r="H85">
        <v>11259</v>
      </c>
      <c r="I85" t="s">
        <v>26</v>
      </c>
      <c r="J85" t="s">
        <v>23</v>
      </c>
      <c r="K85">
        <v>1121</v>
      </c>
      <c r="L85">
        <v>285</v>
      </c>
      <c r="M85">
        <v>134.47</v>
      </c>
      <c r="N85" t="s">
        <v>31</v>
      </c>
      <c r="O85">
        <v>0.25</v>
      </c>
      <c r="P85">
        <v>132.52000000000001</v>
      </c>
      <c r="Q85" t="s">
        <v>28</v>
      </c>
      <c r="R85">
        <v>0.13</v>
      </c>
      <c r="S85">
        <v>125.63</v>
      </c>
      <c r="T85" s="1" t="s">
        <v>34</v>
      </c>
      <c r="U85" s="1" t="s">
        <v>33</v>
      </c>
    </row>
    <row r="86" spans="1:21" ht="28.8" x14ac:dyDescent="0.3">
      <c r="A86">
        <v>2021</v>
      </c>
      <c r="B86">
        <v>1</v>
      </c>
      <c r="C86">
        <v>32467</v>
      </c>
      <c r="D86">
        <v>33342</v>
      </c>
      <c r="E86" t="s">
        <v>22</v>
      </c>
      <c r="F86" t="s">
        <v>21</v>
      </c>
      <c r="G86">
        <v>13303</v>
      </c>
      <c r="H86">
        <v>11259</v>
      </c>
      <c r="I86" t="s">
        <v>26</v>
      </c>
      <c r="J86" t="s">
        <v>23</v>
      </c>
      <c r="K86">
        <v>1121</v>
      </c>
      <c r="L86">
        <v>257</v>
      </c>
      <c r="M86">
        <v>127.74</v>
      </c>
      <c r="N86" t="s">
        <v>36</v>
      </c>
      <c r="O86">
        <v>0.38</v>
      </c>
      <c r="P86">
        <v>125.28</v>
      </c>
      <c r="Q86" t="s">
        <v>37</v>
      </c>
      <c r="R86">
        <v>0.13</v>
      </c>
      <c r="S86">
        <v>119.71</v>
      </c>
      <c r="T86" s="1" t="s">
        <v>34</v>
      </c>
      <c r="U86" s="1" t="s">
        <v>33</v>
      </c>
    </row>
    <row r="87" spans="1:21" ht="28.8" x14ac:dyDescent="0.3">
      <c r="A87">
        <v>2021</v>
      </c>
      <c r="B87">
        <v>3</v>
      </c>
      <c r="C87">
        <v>32467</v>
      </c>
      <c r="D87">
        <v>33342</v>
      </c>
      <c r="E87" t="s">
        <v>22</v>
      </c>
      <c r="F87" t="s">
        <v>21</v>
      </c>
      <c r="G87">
        <v>13303</v>
      </c>
      <c r="H87">
        <v>11259</v>
      </c>
      <c r="I87" t="s">
        <v>26</v>
      </c>
      <c r="J87" t="s">
        <v>23</v>
      </c>
      <c r="K87">
        <v>1121</v>
      </c>
      <c r="L87">
        <v>46</v>
      </c>
      <c r="M87">
        <v>253.85</v>
      </c>
      <c r="N87" t="s">
        <v>31</v>
      </c>
      <c r="O87">
        <v>0.57999999999999996</v>
      </c>
      <c r="P87">
        <v>247.72</v>
      </c>
      <c r="Q87" t="s">
        <v>31</v>
      </c>
      <c r="R87">
        <v>0.57999999999999996</v>
      </c>
      <c r="S87">
        <v>247.72</v>
      </c>
      <c r="T87" s="1" t="s">
        <v>34</v>
      </c>
      <c r="U87" s="1" t="s">
        <v>33</v>
      </c>
    </row>
    <row r="88" spans="1:21" ht="28.8" x14ac:dyDescent="0.3">
      <c r="A88">
        <v>2021</v>
      </c>
      <c r="B88">
        <v>3</v>
      </c>
      <c r="C88">
        <v>32467</v>
      </c>
      <c r="D88">
        <v>33342</v>
      </c>
      <c r="E88" t="s">
        <v>22</v>
      </c>
      <c r="F88" t="s">
        <v>21</v>
      </c>
      <c r="G88">
        <v>13303</v>
      </c>
      <c r="H88">
        <v>11259</v>
      </c>
      <c r="I88" t="s">
        <v>26</v>
      </c>
      <c r="J88" t="s">
        <v>23</v>
      </c>
      <c r="K88">
        <v>1121</v>
      </c>
      <c r="L88">
        <v>68</v>
      </c>
      <c r="M88">
        <v>168.26</v>
      </c>
      <c r="N88" t="s">
        <v>31</v>
      </c>
      <c r="O88">
        <v>0.3</v>
      </c>
      <c r="P88">
        <v>163.6</v>
      </c>
      <c r="Q88" t="s">
        <v>36</v>
      </c>
      <c r="R88">
        <v>0.21</v>
      </c>
      <c r="S88">
        <v>160.43</v>
      </c>
      <c r="T88" s="1" t="s">
        <v>34</v>
      </c>
      <c r="U88" s="1" t="s">
        <v>33</v>
      </c>
    </row>
    <row r="89" spans="1:21" ht="28.8" x14ac:dyDescent="0.3">
      <c r="A89">
        <v>2021</v>
      </c>
      <c r="B89">
        <v>2</v>
      </c>
      <c r="C89">
        <v>32467</v>
      </c>
      <c r="D89">
        <v>33342</v>
      </c>
      <c r="E89" t="s">
        <v>22</v>
      </c>
      <c r="F89" t="s">
        <v>21</v>
      </c>
      <c r="G89">
        <v>13303</v>
      </c>
      <c r="H89">
        <v>11259</v>
      </c>
      <c r="I89" t="s">
        <v>26</v>
      </c>
      <c r="J89" t="s">
        <v>23</v>
      </c>
      <c r="K89">
        <v>1121</v>
      </c>
      <c r="L89">
        <v>80</v>
      </c>
      <c r="M89">
        <v>201.73</v>
      </c>
      <c r="N89" t="s">
        <v>31</v>
      </c>
      <c r="O89">
        <v>0.57999999999999996</v>
      </c>
      <c r="P89">
        <v>195.22</v>
      </c>
      <c r="Q89" t="s">
        <v>31</v>
      </c>
      <c r="R89">
        <v>0.57999999999999996</v>
      </c>
      <c r="S89">
        <v>195.22</v>
      </c>
      <c r="T89" s="1" t="s">
        <v>34</v>
      </c>
      <c r="U89" s="1" t="s">
        <v>33</v>
      </c>
    </row>
    <row r="90" spans="1:21" ht="28.8" x14ac:dyDescent="0.3">
      <c r="A90">
        <v>2021</v>
      </c>
      <c r="B90">
        <v>3</v>
      </c>
      <c r="C90">
        <v>32467</v>
      </c>
      <c r="D90">
        <v>33342</v>
      </c>
      <c r="E90" t="s">
        <v>22</v>
      </c>
      <c r="F90" t="s">
        <v>21</v>
      </c>
      <c r="G90">
        <v>13303</v>
      </c>
      <c r="H90">
        <v>11259</v>
      </c>
      <c r="I90" t="s">
        <v>26</v>
      </c>
      <c r="J90" t="s">
        <v>23</v>
      </c>
      <c r="K90">
        <v>1121</v>
      </c>
      <c r="L90">
        <v>111</v>
      </c>
      <c r="M90">
        <v>126.25</v>
      </c>
      <c r="N90" t="s">
        <v>36</v>
      </c>
      <c r="O90">
        <v>0.39</v>
      </c>
      <c r="P90">
        <v>122.15</v>
      </c>
      <c r="Q90" t="s">
        <v>31</v>
      </c>
      <c r="R90">
        <v>0.1</v>
      </c>
      <c r="S90">
        <v>110.54</v>
      </c>
      <c r="T90" s="1" t="s">
        <v>34</v>
      </c>
      <c r="U90" s="1" t="s">
        <v>33</v>
      </c>
    </row>
    <row r="91" spans="1:21" ht="28.8" x14ac:dyDescent="0.3">
      <c r="A91">
        <v>2021</v>
      </c>
      <c r="B91">
        <v>4</v>
      </c>
      <c r="C91">
        <v>32467</v>
      </c>
      <c r="D91">
        <v>33342</v>
      </c>
      <c r="E91" t="s">
        <v>22</v>
      </c>
      <c r="F91" t="s">
        <v>21</v>
      </c>
      <c r="G91">
        <v>11697</v>
      </c>
      <c r="H91">
        <v>11259</v>
      </c>
      <c r="I91" t="s">
        <v>24</v>
      </c>
      <c r="J91" t="s">
        <v>23</v>
      </c>
      <c r="K91">
        <v>1121</v>
      </c>
      <c r="L91">
        <v>276</v>
      </c>
      <c r="M91">
        <v>154.6</v>
      </c>
      <c r="N91" t="s">
        <v>42</v>
      </c>
      <c r="O91">
        <v>0.68</v>
      </c>
      <c r="P91">
        <v>151.03</v>
      </c>
      <c r="Q91" t="s">
        <v>42</v>
      </c>
      <c r="R91">
        <v>0.68</v>
      </c>
      <c r="S91">
        <v>151.03</v>
      </c>
      <c r="T91" s="1" t="s">
        <v>34</v>
      </c>
      <c r="U91" s="1" t="s">
        <v>33</v>
      </c>
    </row>
    <row r="92" spans="1:21" ht="28.8" x14ac:dyDescent="0.3">
      <c r="A92">
        <v>2021</v>
      </c>
      <c r="B92">
        <v>4</v>
      </c>
      <c r="C92">
        <v>32467</v>
      </c>
      <c r="D92">
        <v>33342</v>
      </c>
      <c r="E92" t="s">
        <v>22</v>
      </c>
      <c r="F92" t="s">
        <v>21</v>
      </c>
      <c r="G92">
        <v>11697</v>
      </c>
      <c r="H92">
        <v>11259</v>
      </c>
      <c r="I92" t="s">
        <v>24</v>
      </c>
      <c r="J92" t="s">
        <v>23</v>
      </c>
      <c r="K92">
        <v>1121</v>
      </c>
      <c r="L92">
        <v>158</v>
      </c>
      <c r="M92">
        <v>148.55000000000001</v>
      </c>
      <c r="N92" t="s">
        <v>36</v>
      </c>
      <c r="O92">
        <v>0.36</v>
      </c>
      <c r="P92">
        <v>128.49</v>
      </c>
      <c r="Q92" t="s">
        <v>36</v>
      </c>
      <c r="R92">
        <v>0.36</v>
      </c>
      <c r="S92">
        <v>128.49</v>
      </c>
      <c r="T92" s="1" t="s">
        <v>34</v>
      </c>
      <c r="U92" s="1" t="s">
        <v>33</v>
      </c>
    </row>
    <row r="93" spans="1:21" ht="28.8" x14ac:dyDescent="0.3">
      <c r="A93">
        <v>2021</v>
      </c>
      <c r="B93">
        <v>3</v>
      </c>
      <c r="C93">
        <v>32467</v>
      </c>
      <c r="D93">
        <v>33342</v>
      </c>
      <c r="E93" t="s">
        <v>22</v>
      </c>
      <c r="F93" t="s">
        <v>21</v>
      </c>
      <c r="G93">
        <v>13303</v>
      </c>
      <c r="H93">
        <v>11259</v>
      </c>
      <c r="I93" t="s">
        <v>26</v>
      </c>
      <c r="J93" t="s">
        <v>23</v>
      </c>
      <c r="K93">
        <v>1121</v>
      </c>
      <c r="L93">
        <v>72</v>
      </c>
      <c r="M93">
        <v>165.96</v>
      </c>
      <c r="N93" t="s">
        <v>31</v>
      </c>
      <c r="O93">
        <v>0.66</v>
      </c>
      <c r="P93">
        <v>148.84</v>
      </c>
      <c r="Q93" t="s">
        <v>31</v>
      </c>
      <c r="R93">
        <v>0.66</v>
      </c>
      <c r="S93">
        <v>148.84</v>
      </c>
      <c r="T93" s="1" t="s">
        <v>34</v>
      </c>
      <c r="U93" s="1" t="s">
        <v>33</v>
      </c>
    </row>
    <row r="94" spans="1:21" ht="28.8" x14ac:dyDescent="0.3">
      <c r="A94">
        <v>2021</v>
      </c>
      <c r="B94">
        <v>2</v>
      </c>
      <c r="C94">
        <v>32467</v>
      </c>
      <c r="D94">
        <v>33342</v>
      </c>
      <c r="E94" t="s">
        <v>22</v>
      </c>
      <c r="F94" t="s">
        <v>21</v>
      </c>
      <c r="G94">
        <v>11697</v>
      </c>
      <c r="H94">
        <v>11259</v>
      </c>
      <c r="I94" t="s">
        <v>24</v>
      </c>
      <c r="J94" t="s">
        <v>23</v>
      </c>
      <c r="K94">
        <v>1121</v>
      </c>
      <c r="L94">
        <v>165</v>
      </c>
      <c r="M94">
        <v>144.91999999999999</v>
      </c>
      <c r="N94" t="s">
        <v>31</v>
      </c>
      <c r="O94">
        <v>0.24</v>
      </c>
      <c r="P94">
        <v>164.2</v>
      </c>
      <c r="Q94" t="s">
        <v>44</v>
      </c>
      <c r="R94">
        <v>0.12</v>
      </c>
      <c r="S94">
        <v>133.16999999999999</v>
      </c>
      <c r="T94" s="1" t="s">
        <v>34</v>
      </c>
      <c r="U94" s="1" t="s">
        <v>33</v>
      </c>
    </row>
    <row r="95" spans="1:21" ht="28.8" x14ac:dyDescent="0.3">
      <c r="A95">
        <v>2021</v>
      </c>
      <c r="B95">
        <v>2</v>
      </c>
      <c r="C95">
        <v>32467</v>
      </c>
      <c r="D95">
        <v>33342</v>
      </c>
      <c r="E95" t="s">
        <v>22</v>
      </c>
      <c r="F95" t="s">
        <v>21</v>
      </c>
      <c r="G95">
        <v>13303</v>
      </c>
      <c r="H95">
        <v>11259</v>
      </c>
      <c r="I95" t="s">
        <v>26</v>
      </c>
      <c r="J95" t="s">
        <v>23</v>
      </c>
      <c r="K95">
        <v>1121</v>
      </c>
      <c r="L95">
        <v>64</v>
      </c>
      <c r="M95">
        <v>240.86</v>
      </c>
      <c r="N95" t="s">
        <v>31</v>
      </c>
      <c r="O95">
        <v>0.38</v>
      </c>
      <c r="P95">
        <v>250.36</v>
      </c>
      <c r="Q95" t="s">
        <v>28</v>
      </c>
      <c r="R95">
        <v>0.27</v>
      </c>
      <c r="S95">
        <v>236.48</v>
      </c>
      <c r="T95" s="1" t="s">
        <v>34</v>
      </c>
      <c r="U95" s="1" t="s">
        <v>33</v>
      </c>
    </row>
    <row r="96" spans="1:21" ht="28.8" x14ac:dyDescent="0.3">
      <c r="A96">
        <v>2021</v>
      </c>
      <c r="B96">
        <v>3</v>
      </c>
      <c r="C96">
        <v>32467</v>
      </c>
      <c r="D96">
        <v>33342</v>
      </c>
      <c r="E96" t="s">
        <v>22</v>
      </c>
      <c r="F96" t="s">
        <v>21</v>
      </c>
      <c r="G96">
        <v>13303</v>
      </c>
      <c r="H96">
        <v>11259</v>
      </c>
      <c r="I96" t="s">
        <v>26</v>
      </c>
      <c r="J96" t="s">
        <v>23</v>
      </c>
      <c r="K96">
        <v>1121</v>
      </c>
      <c r="L96">
        <v>64</v>
      </c>
      <c r="M96">
        <v>172.92</v>
      </c>
      <c r="N96" t="s">
        <v>36</v>
      </c>
      <c r="O96">
        <v>0.28999999999999998</v>
      </c>
      <c r="P96">
        <v>168.08</v>
      </c>
      <c r="Q96" t="s">
        <v>38</v>
      </c>
      <c r="R96">
        <v>0.1</v>
      </c>
      <c r="S96">
        <v>164.32</v>
      </c>
      <c r="T96" s="1" t="s">
        <v>34</v>
      </c>
      <c r="U96" s="1" t="s">
        <v>33</v>
      </c>
    </row>
    <row r="97" spans="1:21" ht="28.8" x14ac:dyDescent="0.3">
      <c r="A97">
        <v>2021</v>
      </c>
      <c r="B97">
        <v>4</v>
      </c>
      <c r="C97">
        <v>32467</v>
      </c>
      <c r="D97">
        <v>33342</v>
      </c>
      <c r="E97" t="s">
        <v>22</v>
      </c>
      <c r="F97" t="s">
        <v>21</v>
      </c>
      <c r="G97">
        <v>11697</v>
      </c>
      <c r="H97">
        <v>11259</v>
      </c>
      <c r="I97" t="s">
        <v>24</v>
      </c>
      <c r="J97" t="s">
        <v>23</v>
      </c>
      <c r="K97">
        <v>1121</v>
      </c>
      <c r="L97">
        <v>152</v>
      </c>
      <c r="M97">
        <v>140.21</v>
      </c>
      <c r="N97" t="s">
        <v>31</v>
      </c>
      <c r="O97">
        <v>0.28999999999999998</v>
      </c>
      <c r="P97">
        <v>144.03</v>
      </c>
      <c r="Q97" t="s">
        <v>38</v>
      </c>
      <c r="R97">
        <v>0.11</v>
      </c>
      <c r="S97">
        <v>127</v>
      </c>
      <c r="T97" s="1" t="s">
        <v>34</v>
      </c>
      <c r="U97" s="1" t="s">
        <v>33</v>
      </c>
    </row>
    <row r="98" spans="1:21" ht="28.8" x14ac:dyDescent="0.3">
      <c r="A98">
        <v>2021</v>
      </c>
      <c r="B98">
        <v>2</v>
      </c>
      <c r="C98">
        <v>32467</v>
      </c>
      <c r="D98">
        <v>33342</v>
      </c>
      <c r="E98" t="s">
        <v>22</v>
      </c>
      <c r="F98" t="s">
        <v>21</v>
      </c>
      <c r="G98">
        <v>11697</v>
      </c>
      <c r="H98">
        <v>11259</v>
      </c>
      <c r="I98" t="s">
        <v>24</v>
      </c>
      <c r="J98" t="s">
        <v>23</v>
      </c>
      <c r="K98">
        <v>1121</v>
      </c>
      <c r="L98">
        <v>381</v>
      </c>
      <c r="M98">
        <v>172.45</v>
      </c>
      <c r="N98" t="s">
        <v>35</v>
      </c>
      <c r="O98">
        <v>0.56999999999999995</v>
      </c>
      <c r="P98">
        <v>173.52</v>
      </c>
      <c r="Q98" t="s">
        <v>30</v>
      </c>
      <c r="R98">
        <v>0.11</v>
      </c>
      <c r="S98">
        <v>155.1</v>
      </c>
      <c r="T98" s="1" t="s">
        <v>34</v>
      </c>
      <c r="U98" s="1" t="s">
        <v>33</v>
      </c>
    </row>
    <row r="99" spans="1:21" ht="28.8" x14ac:dyDescent="0.3">
      <c r="A99">
        <v>2021</v>
      </c>
      <c r="B99">
        <v>4</v>
      </c>
      <c r="C99">
        <v>32467</v>
      </c>
      <c r="D99">
        <v>33342</v>
      </c>
      <c r="E99" t="s">
        <v>22</v>
      </c>
      <c r="F99" t="s">
        <v>21</v>
      </c>
      <c r="G99">
        <v>13303</v>
      </c>
      <c r="H99">
        <v>11259</v>
      </c>
      <c r="I99" t="s">
        <v>26</v>
      </c>
      <c r="J99" t="s">
        <v>23</v>
      </c>
      <c r="K99">
        <v>1121</v>
      </c>
      <c r="L99">
        <v>166</v>
      </c>
      <c r="M99">
        <v>137.88999999999999</v>
      </c>
      <c r="N99" t="s">
        <v>31</v>
      </c>
      <c r="O99">
        <v>0.28000000000000003</v>
      </c>
      <c r="P99">
        <v>137.38</v>
      </c>
      <c r="Q99" t="s">
        <v>28</v>
      </c>
      <c r="R99">
        <v>0.18</v>
      </c>
      <c r="S99">
        <v>127.05</v>
      </c>
      <c r="T99" s="1" t="s">
        <v>34</v>
      </c>
      <c r="U99" s="1" t="s">
        <v>33</v>
      </c>
    </row>
    <row r="100" spans="1:21" ht="28.8" x14ac:dyDescent="0.3">
      <c r="A100">
        <v>2021</v>
      </c>
      <c r="B100">
        <v>2</v>
      </c>
      <c r="C100">
        <v>32467</v>
      </c>
      <c r="D100">
        <v>33342</v>
      </c>
      <c r="E100" t="s">
        <v>22</v>
      </c>
      <c r="F100" t="s">
        <v>21</v>
      </c>
      <c r="G100">
        <v>13303</v>
      </c>
      <c r="H100">
        <v>11259</v>
      </c>
      <c r="I100" t="s">
        <v>26</v>
      </c>
      <c r="J100" t="s">
        <v>23</v>
      </c>
      <c r="K100">
        <v>1121</v>
      </c>
      <c r="L100">
        <v>70</v>
      </c>
      <c r="M100">
        <v>204.39</v>
      </c>
      <c r="N100" t="s">
        <v>28</v>
      </c>
      <c r="O100">
        <v>0.25</v>
      </c>
      <c r="P100">
        <v>237.66</v>
      </c>
      <c r="Q100" t="s">
        <v>36</v>
      </c>
      <c r="R100">
        <v>0.24</v>
      </c>
      <c r="S100">
        <v>180.47</v>
      </c>
      <c r="T100" s="1" t="s">
        <v>34</v>
      </c>
      <c r="U100" s="1" t="s">
        <v>33</v>
      </c>
    </row>
    <row r="101" spans="1:21" ht="28.8" x14ac:dyDescent="0.3">
      <c r="A101">
        <v>2021</v>
      </c>
      <c r="B101">
        <v>3</v>
      </c>
      <c r="C101">
        <v>32467</v>
      </c>
      <c r="D101">
        <v>33342</v>
      </c>
      <c r="E101" t="s">
        <v>22</v>
      </c>
      <c r="F101" t="s">
        <v>21</v>
      </c>
      <c r="G101">
        <v>13303</v>
      </c>
      <c r="H101">
        <v>11259</v>
      </c>
      <c r="I101" t="s">
        <v>26</v>
      </c>
      <c r="J101" t="s">
        <v>23</v>
      </c>
      <c r="K101">
        <v>1121</v>
      </c>
      <c r="L101">
        <v>63</v>
      </c>
      <c r="M101">
        <v>216.72</v>
      </c>
      <c r="N101" t="s">
        <v>28</v>
      </c>
      <c r="O101">
        <v>0.3</v>
      </c>
      <c r="P101">
        <v>214.17</v>
      </c>
      <c r="Q101" t="s">
        <v>36</v>
      </c>
      <c r="R101">
        <v>0.18</v>
      </c>
      <c r="S101">
        <v>204.23</v>
      </c>
      <c r="T101" s="1" t="s">
        <v>34</v>
      </c>
      <c r="U101" s="1" t="s">
        <v>33</v>
      </c>
    </row>
    <row r="102" spans="1:21" ht="28.8" x14ac:dyDescent="0.3">
      <c r="A102">
        <v>2021</v>
      </c>
      <c r="B102">
        <v>2</v>
      </c>
      <c r="C102">
        <v>32467</v>
      </c>
      <c r="D102">
        <v>33342</v>
      </c>
      <c r="E102" t="s">
        <v>22</v>
      </c>
      <c r="F102" t="s">
        <v>21</v>
      </c>
      <c r="G102">
        <v>13303</v>
      </c>
      <c r="H102">
        <v>11259</v>
      </c>
      <c r="I102" t="s">
        <v>26</v>
      </c>
      <c r="J102" t="s">
        <v>23</v>
      </c>
      <c r="K102">
        <v>1121</v>
      </c>
      <c r="L102">
        <v>191</v>
      </c>
      <c r="M102">
        <v>142.9</v>
      </c>
      <c r="N102" t="s">
        <v>36</v>
      </c>
      <c r="O102">
        <v>0.31</v>
      </c>
      <c r="P102">
        <v>142.5</v>
      </c>
      <c r="Q102" t="s">
        <v>37</v>
      </c>
      <c r="R102">
        <v>0.14000000000000001</v>
      </c>
      <c r="S102">
        <v>130.13999999999999</v>
      </c>
      <c r="T102" s="1" t="s">
        <v>34</v>
      </c>
      <c r="U102" s="1" t="s">
        <v>33</v>
      </c>
    </row>
    <row r="103" spans="1:21" ht="28.8" x14ac:dyDescent="0.3">
      <c r="A103">
        <v>2021</v>
      </c>
      <c r="B103">
        <v>3</v>
      </c>
      <c r="C103">
        <v>32467</v>
      </c>
      <c r="D103">
        <v>33342</v>
      </c>
      <c r="E103" t="s">
        <v>22</v>
      </c>
      <c r="F103" t="s">
        <v>21</v>
      </c>
      <c r="G103">
        <v>11697</v>
      </c>
      <c r="H103">
        <v>11259</v>
      </c>
      <c r="I103" t="s">
        <v>24</v>
      </c>
      <c r="J103" t="s">
        <v>23</v>
      </c>
      <c r="K103">
        <v>1121</v>
      </c>
      <c r="L103">
        <v>100</v>
      </c>
      <c r="M103">
        <v>128.13</v>
      </c>
      <c r="N103" t="s">
        <v>31</v>
      </c>
      <c r="O103">
        <v>0.36</v>
      </c>
      <c r="P103">
        <v>135.04</v>
      </c>
      <c r="Q103" t="s">
        <v>36</v>
      </c>
      <c r="R103">
        <v>0.13</v>
      </c>
      <c r="S103">
        <v>122.72</v>
      </c>
      <c r="T103" s="1" t="s">
        <v>34</v>
      </c>
      <c r="U103" s="1" t="s">
        <v>33</v>
      </c>
    </row>
    <row r="104" spans="1:21" ht="28.8" x14ac:dyDescent="0.3">
      <c r="A104">
        <v>2021</v>
      </c>
      <c r="B104">
        <v>4</v>
      </c>
      <c r="C104">
        <v>32467</v>
      </c>
      <c r="D104">
        <v>33342</v>
      </c>
      <c r="E104" t="s">
        <v>22</v>
      </c>
      <c r="F104" t="s">
        <v>21</v>
      </c>
      <c r="G104">
        <v>11697</v>
      </c>
      <c r="H104">
        <v>11259</v>
      </c>
      <c r="I104" t="s">
        <v>24</v>
      </c>
      <c r="J104" t="s">
        <v>23</v>
      </c>
      <c r="K104">
        <v>1121</v>
      </c>
      <c r="L104">
        <v>217</v>
      </c>
      <c r="M104">
        <v>162.13</v>
      </c>
      <c r="N104" t="s">
        <v>35</v>
      </c>
      <c r="O104">
        <v>0.56999999999999995</v>
      </c>
      <c r="P104">
        <v>155.79</v>
      </c>
      <c r="Q104" t="s">
        <v>35</v>
      </c>
      <c r="R104">
        <v>0.56999999999999995</v>
      </c>
      <c r="S104">
        <v>155.79</v>
      </c>
      <c r="T104" s="1" t="s">
        <v>34</v>
      </c>
      <c r="U104" s="1" t="s">
        <v>33</v>
      </c>
    </row>
    <row r="105" spans="1:21" ht="28.8" x14ac:dyDescent="0.3">
      <c r="A105">
        <v>2021</v>
      </c>
      <c r="B105">
        <v>3</v>
      </c>
      <c r="C105">
        <v>32467</v>
      </c>
      <c r="D105">
        <v>33342</v>
      </c>
      <c r="E105" t="s">
        <v>22</v>
      </c>
      <c r="F105" t="s">
        <v>21</v>
      </c>
      <c r="G105">
        <v>13303</v>
      </c>
      <c r="H105">
        <v>11259</v>
      </c>
      <c r="I105" t="s">
        <v>26</v>
      </c>
      <c r="J105" t="s">
        <v>23</v>
      </c>
      <c r="K105">
        <v>1121</v>
      </c>
      <c r="L105">
        <v>119</v>
      </c>
      <c r="M105">
        <v>116.86</v>
      </c>
      <c r="N105" t="s">
        <v>31</v>
      </c>
      <c r="O105">
        <v>0.28999999999999998</v>
      </c>
      <c r="P105">
        <v>113.06</v>
      </c>
      <c r="Q105" t="s">
        <v>28</v>
      </c>
      <c r="R105">
        <v>0.17</v>
      </c>
      <c r="S105">
        <v>110.86</v>
      </c>
      <c r="T105" s="1" t="s">
        <v>34</v>
      </c>
      <c r="U105" s="1" t="s">
        <v>33</v>
      </c>
    </row>
    <row r="106" spans="1:21" ht="28.8" x14ac:dyDescent="0.3">
      <c r="A106">
        <v>2021</v>
      </c>
      <c r="B106">
        <v>3</v>
      </c>
      <c r="C106">
        <v>32467</v>
      </c>
      <c r="D106">
        <v>33342</v>
      </c>
      <c r="E106" t="s">
        <v>22</v>
      </c>
      <c r="F106" t="s">
        <v>21</v>
      </c>
      <c r="G106">
        <v>11697</v>
      </c>
      <c r="H106">
        <v>11259</v>
      </c>
      <c r="I106" t="s">
        <v>24</v>
      </c>
      <c r="J106" t="s">
        <v>23</v>
      </c>
      <c r="K106">
        <v>1121</v>
      </c>
      <c r="L106">
        <v>143</v>
      </c>
      <c r="M106">
        <v>124.65</v>
      </c>
      <c r="N106" t="s">
        <v>31</v>
      </c>
      <c r="O106">
        <v>0.47</v>
      </c>
      <c r="P106">
        <v>129.6</v>
      </c>
      <c r="Q106" t="s">
        <v>36</v>
      </c>
      <c r="R106">
        <v>0.19</v>
      </c>
      <c r="S106">
        <v>120.64</v>
      </c>
      <c r="T106" s="1" t="s">
        <v>34</v>
      </c>
      <c r="U106" s="1" t="s">
        <v>33</v>
      </c>
    </row>
    <row r="107" spans="1:21" ht="28.8" x14ac:dyDescent="0.3">
      <c r="A107">
        <v>2021</v>
      </c>
      <c r="B107">
        <v>4</v>
      </c>
      <c r="C107">
        <v>32467</v>
      </c>
      <c r="D107">
        <v>33342</v>
      </c>
      <c r="E107" t="s">
        <v>22</v>
      </c>
      <c r="F107" t="s">
        <v>21</v>
      </c>
      <c r="G107">
        <v>11697</v>
      </c>
      <c r="H107">
        <v>11259</v>
      </c>
      <c r="I107" t="s">
        <v>24</v>
      </c>
      <c r="J107" t="s">
        <v>23</v>
      </c>
      <c r="K107">
        <v>1121</v>
      </c>
      <c r="L107">
        <v>316</v>
      </c>
      <c r="M107">
        <v>158.63999999999999</v>
      </c>
      <c r="N107" t="s">
        <v>42</v>
      </c>
      <c r="O107">
        <v>0.68</v>
      </c>
      <c r="P107">
        <v>158.9</v>
      </c>
      <c r="Q107" t="s">
        <v>31</v>
      </c>
      <c r="R107">
        <v>0.1</v>
      </c>
      <c r="S107">
        <v>142.94</v>
      </c>
      <c r="T107" s="1" t="s">
        <v>34</v>
      </c>
      <c r="U107" s="1" t="s">
        <v>33</v>
      </c>
    </row>
    <row r="108" spans="1:21" ht="28.8" x14ac:dyDescent="0.3">
      <c r="A108">
        <v>2021</v>
      </c>
      <c r="B108">
        <v>1</v>
      </c>
      <c r="C108">
        <v>32467</v>
      </c>
      <c r="D108">
        <v>33342</v>
      </c>
      <c r="E108" t="s">
        <v>22</v>
      </c>
      <c r="F108" t="s">
        <v>21</v>
      </c>
      <c r="G108">
        <v>11697</v>
      </c>
      <c r="H108">
        <v>11259</v>
      </c>
      <c r="I108" t="s">
        <v>24</v>
      </c>
      <c r="J108" t="s">
        <v>23</v>
      </c>
      <c r="K108">
        <v>1121</v>
      </c>
      <c r="L108">
        <v>528</v>
      </c>
      <c r="M108">
        <v>149.76</v>
      </c>
      <c r="N108" t="s">
        <v>42</v>
      </c>
      <c r="O108">
        <v>0.78</v>
      </c>
      <c r="P108">
        <v>144.32</v>
      </c>
      <c r="Q108" t="s">
        <v>35</v>
      </c>
      <c r="R108">
        <v>0.03</v>
      </c>
      <c r="S108">
        <v>118.64</v>
      </c>
      <c r="T108" s="1" t="s">
        <v>34</v>
      </c>
      <c r="U108" s="1" t="s">
        <v>33</v>
      </c>
    </row>
    <row r="109" spans="1:21" ht="28.8" x14ac:dyDescent="0.3">
      <c r="A109">
        <v>2021</v>
      </c>
      <c r="B109">
        <v>4</v>
      </c>
      <c r="C109">
        <v>32467</v>
      </c>
      <c r="D109">
        <v>33342</v>
      </c>
      <c r="E109" t="s">
        <v>22</v>
      </c>
      <c r="F109" t="s">
        <v>21</v>
      </c>
      <c r="G109">
        <v>13303</v>
      </c>
      <c r="H109">
        <v>11259</v>
      </c>
      <c r="I109" t="s">
        <v>26</v>
      </c>
      <c r="J109" t="s">
        <v>23</v>
      </c>
      <c r="K109">
        <v>1121</v>
      </c>
      <c r="L109">
        <v>127</v>
      </c>
      <c r="M109">
        <v>140.47999999999999</v>
      </c>
      <c r="N109" t="s">
        <v>31</v>
      </c>
      <c r="O109">
        <v>0.43</v>
      </c>
      <c r="P109">
        <v>135.34</v>
      </c>
      <c r="Q109" t="s">
        <v>31</v>
      </c>
      <c r="R109">
        <v>0.43</v>
      </c>
      <c r="S109">
        <v>135.34</v>
      </c>
      <c r="T109" s="1" t="s">
        <v>34</v>
      </c>
      <c r="U109" s="1" t="s">
        <v>33</v>
      </c>
    </row>
    <row r="110" spans="1:21" ht="28.8" x14ac:dyDescent="0.3">
      <c r="A110">
        <v>2021</v>
      </c>
      <c r="B110">
        <v>2</v>
      </c>
      <c r="C110">
        <v>32467</v>
      </c>
      <c r="D110">
        <v>33342</v>
      </c>
      <c r="E110" t="s">
        <v>22</v>
      </c>
      <c r="F110" t="s">
        <v>21</v>
      </c>
      <c r="G110">
        <v>11697</v>
      </c>
      <c r="H110">
        <v>11259</v>
      </c>
      <c r="I110" t="s">
        <v>24</v>
      </c>
      <c r="J110" t="s">
        <v>23</v>
      </c>
      <c r="K110">
        <v>1121</v>
      </c>
      <c r="L110">
        <v>282</v>
      </c>
      <c r="M110">
        <v>164.06</v>
      </c>
      <c r="N110" t="s">
        <v>42</v>
      </c>
      <c r="O110">
        <v>0.55000000000000004</v>
      </c>
      <c r="P110">
        <v>158.71</v>
      </c>
      <c r="Q110" t="s">
        <v>35</v>
      </c>
      <c r="R110">
        <v>0.12</v>
      </c>
      <c r="S110">
        <v>156.68</v>
      </c>
      <c r="T110" s="1" t="s">
        <v>34</v>
      </c>
      <c r="U110" s="1" t="s">
        <v>33</v>
      </c>
    </row>
    <row r="111" spans="1:21" ht="28.8" x14ac:dyDescent="0.3">
      <c r="A111">
        <v>2021</v>
      </c>
      <c r="B111">
        <v>4</v>
      </c>
      <c r="C111">
        <v>32467</v>
      </c>
      <c r="D111">
        <v>33342</v>
      </c>
      <c r="E111" t="s">
        <v>22</v>
      </c>
      <c r="F111" t="s">
        <v>21</v>
      </c>
      <c r="G111">
        <v>11697</v>
      </c>
      <c r="H111">
        <v>11259</v>
      </c>
      <c r="I111" t="s">
        <v>24</v>
      </c>
      <c r="J111" t="s">
        <v>23</v>
      </c>
      <c r="K111">
        <v>1121</v>
      </c>
      <c r="L111">
        <v>302</v>
      </c>
      <c r="M111">
        <v>179.03</v>
      </c>
      <c r="N111" t="s">
        <v>35</v>
      </c>
      <c r="O111">
        <v>0.45</v>
      </c>
      <c r="P111">
        <v>155.93</v>
      </c>
      <c r="Q111" t="s">
        <v>35</v>
      </c>
      <c r="R111">
        <v>0.45</v>
      </c>
      <c r="S111">
        <v>155.93</v>
      </c>
      <c r="T111" s="1" t="s">
        <v>34</v>
      </c>
      <c r="U111" s="1" t="s">
        <v>33</v>
      </c>
    </row>
    <row r="112" spans="1:21" ht="28.8" x14ac:dyDescent="0.3">
      <c r="A112">
        <v>2021</v>
      </c>
      <c r="B112">
        <v>4</v>
      </c>
      <c r="C112">
        <v>32467</v>
      </c>
      <c r="D112">
        <v>33342</v>
      </c>
      <c r="E112" t="s">
        <v>22</v>
      </c>
      <c r="F112" t="s">
        <v>21</v>
      </c>
      <c r="G112">
        <v>13303</v>
      </c>
      <c r="H112">
        <v>11259</v>
      </c>
      <c r="I112" t="s">
        <v>26</v>
      </c>
      <c r="J112" t="s">
        <v>23</v>
      </c>
      <c r="K112">
        <v>1121</v>
      </c>
      <c r="L112">
        <v>57</v>
      </c>
      <c r="M112">
        <v>267.56</v>
      </c>
      <c r="N112" t="s">
        <v>31</v>
      </c>
      <c r="O112">
        <v>0.6</v>
      </c>
      <c r="P112">
        <v>267.88</v>
      </c>
      <c r="Q112" t="s">
        <v>38</v>
      </c>
      <c r="R112">
        <v>0.11</v>
      </c>
      <c r="S112">
        <v>251.54</v>
      </c>
      <c r="T112" s="1" t="s">
        <v>34</v>
      </c>
      <c r="U112" s="1" t="s">
        <v>33</v>
      </c>
    </row>
    <row r="113" spans="1:21" ht="28.8" x14ac:dyDescent="0.3">
      <c r="A113">
        <v>2021</v>
      </c>
      <c r="B113">
        <v>3</v>
      </c>
      <c r="C113">
        <v>32467</v>
      </c>
      <c r="D113">
        <v>33342</v>
      </c>
      <c r="E113" t="s">
        <v>22</v>
      </c>
      <c r="F113" t="s">
        <v>21</v>
      </c>
      <c r="G113">
        <v>13303</v>
      </c>
      <c r="H113">
        <v>11259</v>
      </c>
      <c r="I113" t="s">
        <v>26</v>
      </c>
      <c r="J113" t="s">
        <v>23</v>
      </c>
      <c r="K113">
        <v>1121</v>
      </c>
      <c r="L113">
        <v>110</v>
      </c>
      <c r="M113">
        <v>127.06</v>
      </c>
      <c r="N113" t="s">
        <v>36</v>
      </c>
      <c r="O113">
        <v>0.43</v>
      </c>
      <c r="P113">
        <v>112.41</v>
      </c>
      <c r="Q113" t="s">
        <v>36</v>
      </c>
      <c r="R113">
        <v>0.43</v>
      </c>
      <c r="S113">
        <v>112.41</v>
      </c>
      <c r="T113" s="1" t="s">
        <v>34</v>
      </c>
      <c r="U113" s="1" t="s">
        <v>33</v>
      </c>
    </row>
    <row r="114" spans="1:21" ht="28.8" x14ac:dyDescent="0.3">
      <c r="A114">
        <v>2021</v>
      </c>
      <c r="B114">
        <v>4</v>
      </c>
      <c r="C114">
        <v>32467</v>
      </c>
      <c r="D114">
        <v>33342</v>
      </c>
      <c r="E114" t="s">
        <v>22</v>
      </c>
      <c r="F114" t="s">
        <v>21</v>
      </c>
      <c r="G114">
        <v>11697</v>
      </c>
      <c r="H114">
        <v>11259</v>
      </c>
      <c r="I114" t="s">
        <v>24</v>
      </c>
      <c r="J114" t="s">
        <v>23</v>
      </c>
      <c r="K114">
        <v>1121</v>
      </c>
      <c r="L114">
        <v>361</v>
      </c>
      <c r="M114">
        <v>154.12</v>
      </c>
      <c r="N114" t="s">
        <v>35</v>
      </c>
      <c r="O114">
        <v>0.46</v>
      </c>
      <c r="P114">
        <v>149.29</v>
      </c>
      <c r="Q114" t="s">
        <v>35</v>
      </c>
      <c r="R114">
        <v>0.46</v>
      </c>
      <c r="S114">
        <v>149.29</v>
      </c>
      <c r="T114" s="1" t="s">
        <v>34</v>
      </c>
      <c r="U114" s="1" t="s">
        <v>33</v>
      </c>
    </row>
    <row r="115" spans="1:21" ht="28.8" x14ac:dyDescent="0.3">
      <c r="A115">
        <v>2021</v>
      </c>
      <c r="B115">
        <v>3</v>
      </c>
      <c r="C115">
        <v>32467</v>
      </c>
      <c r="D115">
        <v>33342</v>
      </c>
      <c r="E115" t="s">
        <v>22</v>
      </c>
      <c r="F115" t="s">
        <v>21</v>
      </c>
      <c r="G115">
        <v>11697</v>
      </c>
      <c r="H115">
        <v>11259</v>
      </c>
      <c r="I115" t="s">
        <v>24</v>
      </c>
      <c r="J115" t="s">
        <v>23</v>
      </c>
      <c r="K115">
        <v>1121</v>
      </c>
      <c r="L115">
        <v>207</v>
      </c>
      <c r="M115">
        <v>131.38999999999999</v>
      </c>
      <c r="N115" t="s">
        <v>42</v>
      </c>
      <c r="O115">
        <v>0.59</v>
      </c>
      <c r="P115">
        <v>126.59</v>
      </c>
      <c r="Q115" t="s">
        <v>42</v>
      </c>
      <c r="R115">
        <v>0.59</v>
      </c>
      <c r="S115">
        <v>126.59</v>
      </c>
      <c r="T115" s="1" t="s">
        <v>34</v>
      </c>
      <c r="U115" s="1" t="s">
        <v>33</v>
      </c>
    </row>
    <row r="116" spans="1:21" ht="28.8" x14ac:dyDescent="0.3">
      <c r="A116">
        <v>2021</v>
      </c>
      <c r="B116">
        <v>3</v>
      </c>
      <c r="C116">
        <v>32467</v>
      </c>
      <c r="D116">
        <v>33342</v>
      </c>
      <c r="E116" t="s">
        <v>22</v>
      </c>
      <c r="F116" t="s">
        <v>21</v>
      </c>
      <c r="G116">
        <v>11697</v>
      </c>
      <c r="H116">
        <v>11259</v>
      </c>
      <c r="I116" t="s">
        <v>24</v>
      </c>
      <c r="J116" t="s">
        <v>23</v>
      </c>
      <c r="K116">
        <v>1121</v>
      </c>
      <c r="L116">
        <v>122</v>
      </c>
      <c r="M116">
        <v>113.6</v>
      </c>
      <c r="N116" t="s">
        <v>31</v>
      </c>
      <c r="O116">
        <v>0.25</v>
      </c>
      <c r="P116">
        <v>120.74</v>
      </c>
      <c r="Q116" t="s">
        <v>44</v>
      </c>
      <c r="R116">
        <v>0.22</v>
      </c>
      <c r="S116">
        <v>100.52</v>
      </c>
      <c r="T116" s="1" t="s">
        <v>34</v>
      </c>
      <c r="U116" s="1" t="s">
        <v>33</v>
      </c>
    </row>
    <row r="117" spans="1:21" ht="28.8" x14ac:dyDescent="0.3">
      <c r="A117">
        <v>2021</v>
      </c>
      <c r="B117">
        <v>3</v>
      </c>
      <c r="C117">
        <v>32467</v>
      </c>
      <c r="D117">
        <v>33342</v>
      </c>
      <c r="E117" t="s">
        <v>22</v>
      </c>
      <c r="F117" t="s">
        <v>21</v>
      </c>
      <c r="G117">
        <v>13303</v>
      </c>
      <c r="H117">
        <v>11259</v>
      </c>
      <c r="I117" t="s">
        <v>26</v>
      </c>
      <c r="J117" t="s">
        <v>23</v>
      </c>
      <c r="K117">
        <v>1121</v>
      </c>
      <c r="L117">
        <v>92</v>
      </c>
      <c r="M117">
        <v>134.11000000000001</v>
      </c>
      <c r="N117" t="s">
        <v>31</v>
      </c>
      <c r="O117">
        <v>0.35</v>
      </c>
      <c r="P117">
        <v>126.76</v>
      </c>
      <c r="Q117" t="s">
        <v>31</v>
      </c>
      <c r="R117">
        <v>0.35</v>
      </c>
      <c r="S117">
        <v>126.76</v>
      </c>
      <c r="T117" s="1" t="s">
        <v>34</v>
      </c>
      <c r="U117" s="1" t="s">
        <v>33</v>
      </c>
    </row>
    <row r="118" spans="1:21" ht="28.8" x14ac:dyDescent="0.3">
      <c r="A118">
        <v>2021</v>
      </c>
      <c r="B118">
        <v>1</v>
      </c>
      <c r="C118">
        <v>32467</v>
      </c>
      <c r="D118">
        <v>33342</v>
      </c>
      <c r="E118" t="s">
        <v>22</v>
      </c>
      <c r="F118" t="s">
        <v>21</v>
      </c>
      <c r="G118">
        <v>11697</v>
      </c>
      <c r="H118">
        <v>11259</v>
      </c>
      <c r="I118" t="s">
        <v>24</v>
      </c>
      <c r="J118" t="s">
        <v>23</v>
      </c>
      <c r="K118">
        <v>1121</v>
      </c>
      <c r="L118">
        <v>215</v>
      </c>
      <c r="M118">
        <v>149.43</v>
      </c>
      <c r="N118" t="s">
        <v>31</v>
      </c>
      <c r="O118">
        <v>0.25</v>
      </c>
      <c r="P118">
        <v>156.63999999999999</v>
      </c>
      <c r="Q118" t="s">
        <v>36</v>
      </c>
      <c r="R118">
        <v>0.19</v>
      </c>
      <c r="S118">
        <v>146.44</v>
      </c>
      <c r="T118" s="1" t="s">
        <v>34</v>
      </c>
      <c r="U118" s="1" t="s">
        <v>33</v>
      </c>
    </row>
    <row r="119" spans="1:21" ht="28.8" x14ac:dyDescent="0.3">
      <c r="A119">
        <v>2021</v>
      </c>
      <c r="B119">
        <v>2</v>
      </c>
      <c r="C119">
        <v>32467</v>
      </c>
      <c r="D119">
        <v>33342</v>
      </c>
      <c r="E119" t="s">
        <v>22</v>
      </c>
      <c r="F119" t="s">
        <v>21</v>
      </c>
      <c r="G119">
        <v>11697</v>
      </c>
      <c r="H119">
        <v>11259</v>
      </c>
      <c r="I119" t="s">
        <v>24</v>
      </c>
      <c r="J119" t="s">
        <v>23</v>
      </c>
      <c r="K119">
        <v>1121</v>
      </c>
      <c r="L119">
        <v>144</v>
      </c>
      <c r="M119">
        <v>149.99</v>
      </c>
      <c r="N119" t="s">
        <v>31</v>
      </c>
      <c r="O119">
        <v>0.41</v>
      </c>
      <c r="P119">
        <v>157.93</v>
      </c>
      <c r="Q119" t="s">
        <v>43</v>
      </c>
      <c r="R119">
        <v>0.1</v>
      </c>
      <c r="S119">
        <v>136.34</v>
      </c>
      <c r="T119" s="1" t="s">
        <v>34</v>
      </c>
      <c r="U119" s="1" t="s">
        <v>33</v>
      </c>
    </row>
    <row r="120" spans="1:21" ht="28.8" x14ac:dyDescent="0.3">
      <c r="A120">
        <v>2021</v>
      </c>
      <c r="B120">
        <v>3</v>
      </c>
      <c r="C120">
        <v>32467</v>
      </c>
      <c r="D120">
        <v>33342</v>
      </c>
      <c r="E120" t="s">
        <v>22</v>
      </c>
      <c r="F120" t="s">
        <v>21</v>
      </c>
      <c r="G120">
        <v>11697</v>
      </c>
      <c r="H120">
        <v>11259</v>
      </c>
      <c r="I120" t="s">
        <v>24</v>
      </c>
      <c r="J120" t="s">
        <v>23</v>
      </c>
      <c r="K120">
        <v>1121</v>
      </c>
      <c r="L120">
        <v>247</v>
      </c>
      <c r="M120">
        <v>182.86</v>
      </c>
      <c r="N120" t="s">
        <v>25</v>
      </c>
      <c r="O120">
        <v>0.52</v>
      </c>
      <c r="P120">
        <v>167.48</v>
      </c>
      <c r="Q120" t="s">
        <v>25</v>
      </c>
      <c r="R120">
        <v>0.52</v>
      </c>
      <c r="S120">
        <v>167.48</v>
      </c>
      <c r="T120" s="1" t="s">
        <v>34</v>
      </c>
      <c r="U120" s="1" t="s">
        <v>33</v>
      </c>
    </row>
    <row r="121" spans="1:21" ht="28.8" x14ac:dyDescent="0.3">
      <c r="A121">
        <v>2021</v>
      </c>
      <c r="B121">
        <v>3</v>
      </c>
      <c r="C121">
        <v>32467</v>
      </c>
      <c r="D121">
        <v>33342</v>
      </c>
      <c r="E121" t="s">
        <v>22</v>
      </c>
      <c r="F121" t="s">
        <v>21</v>
      </c>
      <c r="G121">
        <v>13303</v>
      </c>
      <c r="H121">
        <v>11259</v>
      </c>
      <c r="I121" t="s">
        <v>26</v>
      </c>
      <c r="J121" t="s">
        <v>23</v>
      </c>
      <c r="K121">
        <v>1121</v>
      </c>
      <c r="L121">
        <v>124</v>
      </c>
      <c r="M121">
        <v>130.74</v>
      </c>
      <c r="N121" t="s">
        <v>28</v>
      </c>
      <c r="O121">
        <v>0.26</v>
      </c>
      <c r="P121">
        <v>139.41</v>
      </c>
      <c r="Q121" t="s">
        <v>36</v>
      </c>
      <c r="R121">
        <v>0.24</v>
      </c>
      <c r="S121">
        <v>109.64</v>
      </c>
      <c r="T121" s="1" t="s">
        <v>34</v>
      </c>
      <c r="U121" s="1" t="s">
        <v>33</v>
      </c>
    </row>
    <row r="122" spans="1:21" ht="28.8" x14ac:dyDescent="0.3">
      <c r="A122">
        <v>2021</v>
      </c>
      <c r="B122">
        <v>1</v>
      </c>
      <c r="C122">
        <v>32467</v>
      </c>
      <c r="D122">
        <v>33342</v>
      </c>
      <c r="E122" t="s">
        <v>22</v>
      </c>
      <c r="F122" t="s">
        <v>21</v>
      </c>
      <c r="G122">
        <v>11697</v>
      </c>
      <c r="H122">
        <v>11259</v>
      </c>
      <c r="I122" t="s">
        <v>24</v>
      </c>
      <c r="J122" t="s">
        <v>23</v>
      </c>
      <c r="K122">
        <v>1121</v>
      </c>
      <c r="L122">
        <v>414</v>
      </c>
      <c r="M122">
        <v>202.38</v>
      </c>
      <c r="N122" t="s">
        <v>25</v>
      </c>
      <c r="O122">
        <v>0.41</v>
      </c>
      <c r="P122">
        <v>220.93</v>
      </c>
      <c r="Q122" t="s">
        <v>35</v>
      </c>
      <c r="R122">
        <v>0.26</v>
      </c>
      <c r="S122">
        <v>183.4</v>
      </c>
      <c r="T122" s="1" t="s">
        <v>34</v>
      </c>
      <c r="U122" s="1" t="s">
        <v>33</v>
      </c>
    </row>
    <row r="123" spans="1:21" ht="28.8" x14ac:dyDescent="0.3">
      <c r="A123">
        <v>2021</v>
      </c>
      <c r="B123">
        <v>1</v>
      </c>
      <c r="C123">
        <v>32467</v>
      </c>
      <c r="D123">
        <v>33342</v>
      </c>
      <c r="E123" t="s">
        <v>22</v>
      </c>
      <c r="F123" t="s">
        <v>21</v>
      </c>
      <c r="G123">
        <v>13303</v>
      </c>
      <c r="H123">
        <v>11259</v>
      </c>
      <c r="I123" t="s">
        <v>26</v>
      </c>
      <c r="J123" t="s">
        <v>23</v>
      </c>
      <c r="K123">
        <v>1121</v>
      </c>
      <c r="L123">
        <v>105</v>
      </c>
      <c r="M123">
        <v>236.5</v>
      </c>
      <c r="N123" t="s">
        <v>31</v>
      </c>
      <c r="O123">
        <v>0.49</v>
      </c>
      <c r="P123">
        <v>233.36</v>
      </c>
      <c r="Q123" t="s">
        <v>28</v>
      </c>
      <c r="R123">
        <v>0.17</v>
      </c>
      <c r="S123">
        <v>224.92</v>
      </c>
      <c r="T123" s="1" t="s">
        <v>34</v>
      </c>
      <c r="U123" s="1" t="s">
        <v>33</v>
      </c>
    </row>
    <row r="124" spans="1:21" ht="28.8" x14ac:dyDescent="0.3">
      <c r="A124">
        <v>2021</v>
      </c>
      <c r="B124">
        <v>1</v>
      </c>
      <c r="C124">
        <v>32467</v>
      </c>
      <c r="D124">
        <v>33342</v>
      </c>
      <c r="E124" t="s">
        <v>22</v>
      </c>
      <c r="F124" t="s">
        <v>21</v>
      </c>
      <c r="G124">
        <v>11697</v>
      </c>
      <c r="H124">
        <v>11259</v>
      </c>
      <c r="I124" t="s">
        <v>24</v>
      </c>
      <c r="J124" t="s">
        <v>23</v>
      </c>
      <c r="K124">
        <v>1121</v>
      </c>
      <c r="L124">
        <v>490</v>
      </c>
      <c r="M124">
        <v>192.7</v>
      </c>
      <c r="N124" t="s">
        <v>25</v>
      </c>
      <c r="O124">
        <v>0.59</v>
      </c>
      <c r="P124">
        <v>194.41</v>
      </c>
      <c r="Q124" t="s">
        <v>31</v>
      </c>
      <c r="R124">
        <v>0.23</v>
      </c>
      <c r="S124">
        <v>188.65</v>
      </c>
      <c r="T124" s="1" t="s">
        <v>34</v>
      </c>
      <c r="U124" s="1" t="s">
        <v>33</v>
      </c>
    </row>
    <row r="125" spans="1:21" ht="28.8" x14ac:dyDescent="0.3">
      <c r="A125">
        <v>2021</v>
      </c>
      <c r="B125">
        <v>4</v>
      </c>
      <c r="C125">
        <v>32467</v>
      </c>
      <c r="D125">
        <v>33342</v>
      </c>
      <c r="E125" t="s">
        <v>22</v>
      </c>
      <c r="F125" t="s">
        <v>21</v>
      </c>
      <c r="G125">
        <v>13303</v>
      </c>
      <c r="H125">
        <v>11259</v>
      </c>
      <c r="I125" t="s">
        <v>26</v>
      </c>
      <c r="J125" t="s">
        <v>23</v>
      </c>
      <c r="K125">
        <v>1121</v>
      </c>
      <c r="L125">
        <v>69</v>
      </c>
      <c r="M125">
        <v>177.59</v>
      </c>
      <c r="N125" t="s">
        <v>31</v>
      </c>
      <c r="O125">
        <v>0.31</v>
      </c>
      <c r="P125">
        <v>157.51</v>
      </c>
      <c r="Q125" t="s">
        <v>31</v>
      </c>
      <c r="R125">
        <v>0.31</v>
      </c>
      <c r="S125">
        <v>157.51</v>
      </c>
      <c r="T125" s="1" t="s">
        <v>34</v>
      </c>
      <c r="U125" s="1" t="s">
        <v>33</v>
      </c>
    </row>
    <row r="126" spans="1:21" ht="28.8" x14ac:dyDescent="0.3">
      <c r="A126">
        <v>2021</v>
      </c>
      <c r="B126">
        <v>4</v>
      </c>
      <c r="C126">
        <v>32467</v>
      </c>
      <c r="D126">
        <v>33342</v>
      </c>
      <c r="E126" t="s">
        <v>22</v>
      </c>
      <c r="F126" t="s">
        <v>21</v>
      </c>
      <c r="G126">
        <v>13303</v>
      </c>
      <c r="H126">
        <v>11259</v>
      </c>
      <c r="I126" t="s">
        <v>26</v>
      </c>
      <c r="J126" t="s">
        <v>23</v>
      </c>
      <c r="K126">
        <v>1121</v>
      </c>
      <c r="L126">
        <v>62</v>
      </c>
      <c r="M126">
        <v>240.58</v>
      </c>
      <c r="N126" t="s">
        <v>31</v>
      </c>
      <c r="O126">
        <v>0.49</v>
      </c>
      <c r="P126">
        <v>244.32</v>
      </c>
      <c r="Q126" t="s">
        <v>37</v>
      </c>
      <c r="R126">
        <v>0.19</v>
      </c>
      <c r="S126">
        <v>200.96</v>
      </c>
      <c r="T126" s="1" t="s">
        <v>34</v>
      </c>
      <c r="U126" s="1" t="s">
        <v>33</v>
      </c>
    </row>
    <row r="127" spans="1:21" ht="28.8" x14ac:dyDescent="0.3">
      <c r="A127">
        <v>2021</v>
      </c>
      <c r="B127">
        <v>2</v>
      </c>
      <c r="C127">
        <v>32467</v>
      </c>
      <c r="D127">
        <v>33342</v>
      </c>
      <c r="E127" t="s">
        <v>22</v>
      </c>
      <c r="F127" t="s">
        <v>21</v>
      </c>
      <c r="G127">
        <v>13303</v>
      </c>
      <c r="H127">
        <v>11259</v>
      </c>
      <c r="I127" t="s">
        <v>26</v>
      </c>
      <c r="J127" t="s">
        <v>23</v>
      </c>
      <c r="K127">
        <v>1121</v>
      </c>
      <c r="L127">
        <v>62</v>
      </c>
      <c r="M127">
        <v>231.73</v>
      </c>
      <c r="N127" t="s">
        <v>31</v>
      </c>
      <c r="O127">
        <v>0.63</v>
      </c>
      <c r="P127">
        <v>235.54</v>
      </c>
      <c r="Q127" t="s">
        <v>37</v>
      </c>
      <c r="R127">
        <v>0.13</v>
      </c>
      <c r="S127">
        <v>190.09</v>
      </c>
      <c r="T127" s="1" t="s">
        <v>34</v>
      </c>
      <c r="U127" s="1" t="s">
        <v>33</v>
      </c>
    </row>
    <row r="128" spans="1:21" ht="28.8" x14ac:dyDescent="0.3">
      <c r="A128">
        <v>2021</v>
      </c>
      <c r="B128">
        <v>4</v>
      </c>
      <c r="C128">
        <v>32467</v>
      </c>
      <c r="D128">
        <v>33342</v>
      </c>
      <c r="E128" t="s">
        <v>22</v>
      </c>
      <c r="F128" t="s">
        <v>21</v>
      </c>
      <c r="G128">
        <v>13303</v>
      </c>
      <c r="H128">
        <v>11259</v>
      </c>
      <c r="I128" t="s">
        <v>26</v>
      </c>
      <c r="J128" t="s">
        <v>23</v>
      </c>
      <c r="K128">
        <v>1121</v>
      </c>
      <c r="L128">
        <v>70</v>
      </c>
      <c r="M128">
        <v>190.01</v>
      </c>
      <c r="N128" t="s">
        <v>31</v>
      </c>
      <c r="O128">
        <v>0.33</v>
      </c>
      <c r="P128">
        <v>175.77</v>
      </c>
      <c r="Q128" t="s">
        <v>35</v>
      </c>
      <c r="R128">
        <v>0.17</v>
      </c>
      <c r="S128">
        <v>151.65</v>
      </c>
      <c r="T128" s="1" t="s">
        <v>34</v>
      </c>
      <c r="U128" s="1" t="s">
        <v>33</v>
      </c>
    </row>
    <row r="129" spans="1:21" ht="28.8" x14ac:dyDescent="0.3">
      <c r="A129">
        <v>2021</v>
      </c>
      <c r="B129">
        <v>3</v>
      </c>
      <c r="C129">
        <v>32467</v>
      </c>
      <c r="D129">
        <v>33342</v>
      </c>
      <c r="E129" t="s">
        <v>22</v>
      </c>
      <c r="F129" t="s">
        <v>21</v>
      </c>
      <c r="G129">
        <v>13303</v>
      </c>
      <c r="H129">
        <v>11259</v>
      </c>
      <c r="I129" t="s">
        <v>26</v>
      </c>
      <c r="J129" t="s">
        <v>23</v>
      </c>
      <c r="K129">
        <v>1121</v>
      </c>
      <c r="L129">
        <v>93</v>
      </c>
      <c r="M129">
        <v>141.57</v>
      </c>
      <c r="N129" t="s">
        <v>36</v>
      </c>
      <c r="O129">
        <v>0.36</v>
      </c>
      <c r="P129">
        <v>139.81</v>
      </c>
      <c r="Q129" t="s">
        <v>38</v>
      </c>
      <c r="R129">
        <v>0.1</v>
      </c>
      <c r="S129">
        <v>123.55</v>
      </c>
      <c r="T129" s="1" t="s">
        <v>34</v>
      </c>
      <c r="U129" s="1" t="s">
        <v>33</v>
      </c>
    </row>
    <row r="130" spans="1:21" ht="28.8" x14ac:dyDescent="0.3">
      <c r="A130">
        <v>2021</v>
      </c>
      <c r="B130">
        <v>2</v>
      </c>
      <c r="C130">
        <v>32467</v>
      </c>
      <c r="D130">
        <v>33342</v>
      </c>
      <c r="E130" t="s">
        <v>22</v>
      </c>
      <c r="F130" t="s">
        <v>21</v>
      </c>
      <c r="G130">
        <v>11697</v>
      </c>
      <c r="H130">
        <v>11259</v>
      </c>
      <c r="I130" t="s">
        <v>24</v>
      </c>
      <c r="J130" t="s">
        <v>23</v>
      </c>
      <c r="K130">
        <v>1121</v>
      </c>
      <c r="L130">
        <v>228</v>
      </c>
      <c r="M130">
        <v>139.66999999999999</v>
      </c>
      <c r="N130" t="s">
        <v>31</v>
      </c>
      <c r="O130">
        <v>0.23</v>
      </c>
      <c r="P130">
        <v>140.18</v>
      </c>
      <c r="Q130" t="s">
        <v>28</v>
      </c>
      <c r="R130">
        <v>0.1</v>
      </c>
      <c r="S130">
        <v>117.28</v>
      </c>
      <c r="T130" s="1" t="s">
        <v>34</v>
      </c>
      <c r="U130" s="1" t="s">
        <v>33</v>
      </c>
    </row>
    <row r="131" spans="1:21" ht="28.8" x14ac:dyDescent="0.3">
      <c r="A131">
        <v>2021</v>
      </c>
      <c r="B131">
        <v>2</v>
      </c>
      <c r="C131">
        <v>32467</v>
      </c>
      <c r="D131">
        <v>33342</v>
      </c>
      <c r="E131" t="s">
        <v>22</v>
      </c>
      <c r="F131" t="s">
        <v>21</v>
      </c>
      <c r="G131">
        <v>11697</v>
      </c>
      <c r="H131">
        <v>11259</v>
      </c>
      <c r="I131" t="s">
        <v>24</v>
      </c>
      <c r="J131" t="s">
        <v>23</v>
      </c>
      <c r="K131">
        <v>1121</v>
      </c>
      <c r="L131">
        <v>329</v>
      </c>
      <c r="M131">
        <v>149.24</v>
      </c>
      <c r="N131" t="s">
        <v>42</v>
      </c>
      <c r="O131">
        <v>0.71</v>
      </c>
      <c r="P131">
        <v>142.04</v>
      </c>
      <c r="Q131" t="s">
        <v>35</v>
      </c>
      <c r="R131">
        <v>0.08</v>
      </c>
      <c r="S131">
        <v>133.77000000000001</v>
      </c>
      <c r="T131" s="1" t="s">
        <v>34</v>
      </c>
      <c r="U131" s="1" t="s">
        <v>33</v>
      </c>
    </row>
    <row r="132" spans="1:21" ht="28.8" x14ac:dyDescent="0.3">
      <c r="A132">
        <v>2021</v>
      </c>
      <c r="B132">
        <v>3</v>
      </c>
      <c r="C132">
        <v>32467</v>
      </c>
      <c r="D132">
        <v>33342</v>
      </c>
      <c r="E132" t="s">
        <v>22</v>
      </c>
      <c r="F132" t="s">
        <v>21</v>
      </c>
      <c r="G132">
        <v>11697</v>
      </c>
      <c r="H132">
        <v>11259</v>
      </c>
      <c r="I132" t="s">
        <v>24</v>
      </c>
      <c r="J132" t="s">
        <v>23</v>
      </c>
      <c r="K132">
        <v>1121</v>
      </c>
      <c r="L132">
        <v>144</v>
      </c>
      <c r="M132">
        <v>120.75</v>
      </c>
      <c r="N132" t="s">
        <v>31</v>
      </c>
      <c r="O132">
        <v>0.41</v>
      </c>
      <c r="P132">
        <v>120.55</v>
      </c>
      <c r="Q132" t="s">
        <v>35</v>
      </c>
      <c r="R132">
        <v>0.15</v>
      </c>
      <c r="S132">
        <v>113.27</v>
      </c>
      <c r="T132" s="1" t="s">
        <v>34</v>
      </c>
      <c r="U132" s="1" t="s">
        <v>33</v>
      </c>
    </row>
    <row r="133" spans="1:21" ht="28.8" x14ac:dyDescent="0.3">
      <c r="A133">
        <v>2021</v>
      </c>
      <c r="B133">
        <v>1</v>
      </c>
      <c r="C133">
        <v>32467</v>
      </c>
      <c r="D133">
        <v>33342</v>
      </c>
      <c r="E133" t="s">
        <v>22</v>
      </c>
      <c r="F133" t="s">
        <v>21</v>
      </c>
      <c r="G133">
        <v>13303</v>
      </c>
      <c r="H133">
        <v>11259</v>
      </c>
      <c r="I133" t="s">
        <v>26</v>
      </c>
      <c r="J133" t="s">
        <v>23</v>
      </c>
      <c r="K133">
        <v>1121</v>
      </c>
      <c r="L133">
        <v>98</v>
      </c>
      <c r="M133">
        <v>206.18</v>
      </c>
      <c r="N133" t="s">
        <v>36</v>
      </c>
      <c r="O133">
        <v>0.35</v>
      </c>
      <c r="P133">
        <v>201.39</v>
      </c>
      <c r="Q133" t="s">
        <v>35</v>
      </c>
      <c r="R133">
        <v>0.1</v>
      </c>
      <c r="S133">
        <v>165.65</v>
      </c>
      <c r="T133" s="1" t="s">
        <v>34</v>
      </c>
      <c r="U133" s="1" t="s">
        <v>33</v>
      </c>
    </row>
    <row r="134" spans="1:21" ht="28.8" x14ac:dyDescent="0.3">
      <c r="A134">
        <v>2021</v>
      </c>
      <c r="B134">
        <v>4</v>
      </c>
      <c r="C134">
        <v>32467</v>
      </c>
      <c r="D134">
        <v>33342</v>
      </c>
      <c r="E134" t="s">
        <v>22</v>
      </c>
      <c r="F134" t="s">
        <v>21</v>
      </c>
      <c r="G134">
        <v>13303</v>
      </c>
      <c r="H134">
        <v>11259</v>
      </c>
      <c r="I134" t="s">
        <v>26</v>
      </c>
      <c r="J134" t="s">
        <v>23</v>
      </c>
      <c r="K134">
        <v>1121</v>
      </c>
      <c r="L134">
        <v>61</v>
      </c>
      <c r="M134">
        <v>242.46</v>
      </c>
      <c r="N134" t="s">
        <v>31</v>
      </c>
      <c r="O134">
        <v>0.63</v>
      </c>
      <c r="P134">
        <v>224.81</v>
      </c>
      <c r="Q134" t="s">
        <v>31</v>
      </c>
      <c r="R134">
        <v>0.63</v>
      </c>
      <c r="S134">
        <v>224.81</v>
      </c>
      <c r="T134" s="1" t="s">
        <v>34</v>
      </c>
      <c r="U134" s="1" t="s">
        <v>33</v>
      </c>
    </row>
    <row r="135" spans="1:21" ht="28.8" x14ac:dyDescent="0.3">
      <c r="A135">
        <v>2021</v>
      </c>
      <c r="B135">
        <v>3</v>
      </c>
      <c r="C135">
        <v>32467</v>
      </c>
      <c r="D135">
        <v>33342</v>
      </c>
      <c r="E135" t="s">
        <v>22</v>
      </c>
      <c r="F135" t="s">
        <v>21</v>
      </c>
      <c r="G135">
        <v>11697</v>
      </c>
      <c r="H135">
        <v>11259</v>
      </c>
      <c r="I135" t="s">
        <v>24</v>
      </c>
      <c r="J135" t="s">
        <v>23</v>
      </c>
      <c r="K135">
        <v>1121</v>
      </c>
      <c r="L135">
        <v>148</v>
      </c>
      <c r="M135">
        <v>168.04</v>
      </c>
      <c r="N135" t="s">
        <v>35</v>
      </c>
      <c r="O135">
        <v>0.33</v>
      </c>
      <c r="P135">
        <v>148.91</v>
      </c>
      <c r="Q135" t="s">
        <v>35</v>
      </c>
      <c r="R135">
        <v>0.33</v>
      </c>
      <c r="S135">
        <v>148.91</v>
      </c>
      <c r="T135" s="1" t="s">
        <v>34</v>
      </c>
      <c r="U135" s="1" t="s">
        <v>33</v>
      </c>
    </row>
    <row r="136" spans="1:21" ht="28.8" x14ac:dyDescent="0.3">
      <c r="A136">
        <v>2021</v>
      </c>
      <c r="B136">
        <v>2</v>
      </c>
      <c r="C136">
        <v>32467</v>
      </c>
      <c r="D136">
        <v>33342</v>
      </c>
      <c r="E136" t="s">
        <v>22</v>
      </c>
      <c r="F136" t="s">
        <v>21</v>
      </c>
      <c r="G136">
        <v>11697</v>
      </c>
      <c r="H136">
        <v>11259</v>
      </c>
      <c r="I136" t="s">
        <v>24</v>
      </c>
      <c r="J136" t="s">
        <v>23</v>
      </c>
      <c r="K136">
        <v>1121</v>
      </c>
      <c r="L136">
        <v>351</v>
      </c>
      <c r="M136">
        <v>184.14</v>
      </c>
      <c r="N136" t="s">
        <v>35</v>
      </c>
      <c r="O136">
        <v>0.7</v>
      </c>
      <c r="P136">
        <v>177.38</v>
      </c>
      <c r="Q136" t="s">
        <v>35</v>
      </c>
      <c r="R136">
        <v>0.7</v>
      </c>
      <c r="S136">
        <v>177.38</v>
      </c>
      <c r="T136" s="1" t="s">
        <v>34</v>
      </c>
      <c r="U136" s="1" t="s">
        <v>33</v>
      </c>
    </row>
    <row r="137" spans="1:21" ht="28.8" x14ac:dyDescent="0.3">
      <c r="A137">
        <v>2021</v>
      </c>
      <c r="B137">
        <v>4</v>
      </c>
      <c r="C137">
        <v>32467</v>
      </c>
      <c r="D137">
        <v>33342</v>
      </c>
      <c r="E137" t="s">
        <v>22</v>
      </c>
      <c r="F137" t="s">
        <v>21</v>
      </c>
      <c r="G137">
        <v>13303</v>
      </c>
      <c r="H137">
        <v>11259</v>
      </c>
      <c r="I137" t="s">
        <v>26</v>
      </c>
      <c r="J137" t="s">
        <v>23</v>
      </c>
      <c r="K137">
        <v>1121</v>
      </c>
      <c r="L137">
        <v>93</v>
      </c>
      <c r="M137">
        <v>173.72</v>
      </c>
      <c r="N137" t="s">
        <v>36</v>
      </c>
      <c r="O137">
        <v>0.27</v>
      </c>
      <c r="P137">
        <v>168.27</v>
      </c>
      <c r="Q137" t="s">
        <v>43</v>
      </c>
      <c r="R137">
        <v>0.1</v>
      </c>
      <c r="S137">
        <v>130.44</v>
      </c>
      <c r="T137" s="1" t="s">
        <v>34</v>
      </c>
      <c r="U137" s="1" t="s">
        <v>33</v>
      </c>
    </row>
    <row r="138" spans="1:21" ht="28.8" x14ac:dyDescent="0.3">
      <c r="A138">
        <v>2021</v>
      </c>
      <c r="B138">
        <v>2</v>
      </c>
      <c r="C138">
        <v>32467</v>
      </c>
      <c r="D138">
        <v>33342</v>
      </c>
      <c r="E138" t="s">
        <v>22</v>
      </c>
      <c r="F138" t="s">
        <v>21</v>
      </c>
      <c r="G138">
        <v>11697</v>
      </c>
      <c r="H138">
        <v>11259</v>
      </c>
      <c r="I138" t="s">
        <v>24</v>
      </c>
      <c r="J138" t="s">
        <v>23</v>
      </c>
      <c r="K138">
        <v>1121</v>
      </c>
      <c r="L138">
        <v>344</v>
      </c>
      <c r="M138">
        <v>144.32</v>
      </c>
      <c r="N138" t="s">
        <v>35</v>
      </c>
      <c r="O138">
        <v>0.47</v>
      </c>
      <c r="P138">
        <v>140.33000000000001</v>
      </c>
      <c r="Q138" t="s">
        <v>25</v>
      </c>
      <c r="R138">
        <v>0.19</v>
      </c>
      <c r="S138">
        <v>139.53</v>
      </c>
      <c r="T138" s="1" t="s">
        <v>34</v>
      </c>
      <c r="U138" s="1" t="s">
        <v>33</v>
      </c>
    </row>
    <row r="139" spans="1:21" ht="28.8" x14ac:dyDescent="0.3">
      <c r="A139">
        <v>2021</v>
      </c>
      <c r="B139">
        <v>2</v>
      </c>
      <c r="C139">
        <v>32467</v>
      </c>
      <c r="D139">
        <v>33342</v>
      </c>
      <c r="E139" t="s">
        <v>22</v>
      </c>
      <c r="F139" t="s">
        <v>21</v>
      </c>
      <c r="G139">
        <v>13303</v>
      </c>
      <c r="H139">
        <v>11259</v>
      </c>
      <c r="I139" t="s">
        <v>26</v>
      </c>
      <c r="J139" t="s">
        <v>23</v>
      </c>
      <c r="K139">
        <v>1121</v>
      </c>
      <c r="L139">
        <v>164</v>
      </c>
      <c r="M139">
        <v>167.89</v>
      </c>
      <c r="N139" t="s">
        <v>36</v>
      </c>
      <c r="O139">
        <v>0.37</v>
      </c>
      <c r="P139">
        <v>159.44</v>
      </c>
      <c r="Q139" t="s">
        <v>36</v>
      </c>
      <c r="R139">
        <v>0.37</v>
      </c>
      <c r="S139">
        <v>159.44</v>
      </c>
      <c r="T139" s="1" t="s">
        <v>34</v>
      </c>
      <c r="U139" s="1" t="s">
        <v>33</v>
      </c>
    </row>
    <row r="140" spans="1:21" ht="28.8" x14ac:dyDescent="0.3">
      <c r="A140">
        <v>2021</v>
      </c>
      <c r="B140">
        <v>4</v>
      </c>
      <c r="C140">
        <v>32467</v>
      </c>
      <c r="D140">
        <v>33342</v>
      </c>
      <c r="E140" t="s">
        <v>22</v>
      </c>
      <c r="F140" t="s">
        <v>21</v>
      </c>
      <c r="G140">
        <v>13303</v>
      </c>
      <c r="H140">
        <v>11259</v>
      </c>
      <c r="I140" t="s">
        <v>26</v>
      </c>
      <c r="J140" t="s">
        <v>23</v>
      </c>
      <c r="K140">
        <v>1121</v>
      </c>
      <c r="L140">
        <v>71</v>
      </c>
      <c r="M140">
        <v>206.18</v>
      </c>
      <c r="N140" t="s">
        <v>31</v>
      </c>
      <c r="O140">
        <v>0.32</v>
      </c>
      <c r="P140">
        <v>203.89</v>
      </c>
      <c r="Q140" t="s">
        <v>28</v>
      </c>
      <c r="R140">
        <v>0.15</v>
      </c>
      <c r="S140">
        <v>195.8</v>
      </c>
      <c r="T140" s="1" t="s">
        <v>34</v>
      </c>
      <c r="U140" s="1" t="s">
        <v>33</v>
      </c>
    </row>
    <row r="141" spans="1:21" x14ac:dyDescent="0.3">
      <c r="A141">
        <v>2021</v>
      </c>
      <c r="B141">
        <v>1</v>
      </c>
      <c r="C141">
        <v>32467</v>
      </c>
      <c r="D141">
        <v>33342</v>
      </c>
      <c r="E141" t="s">
        <v>22</v>
      </c>
      <c r="F141" t="s">
        <v>21</v>
      </c>
      <c r="G141">
        <v>11697</v>
      </c>
      <c r="H141">
        <v>11259</v>
      </c>
      <c r="I141" t="s">
        <v>24</v>
      </c>
      <c r="J141" t="s">
        <v>23</v>
      </c>
      <c r="K141">
        <v>1121</v>
      </c>
      <c r="L141">
        <v>418</v>
      </c>
      <c r="M141">
        <v>214.99</v>
      </c>
      <c r="N141" t="s">
        <v>25</v>
      </c>
      <c r="O141">
        <v>0.77559999999999996</v>
      </c>
      <c r="P141">
        <v>207.35</v>
      </c>
      <c r="Q141" t="s">
        <v>25</v>
      </c>
      <c r="R141">
        <v>0.77559999999999996</v>
      </c>
      <c r="S141">
        <v>207.35</v>
      </c>
    </row>
    <row r="142" spans="1:21" ht="28.8" x14ac:dyDescent="0.3">
      <c r="A142">
        <v>2021</v>
      </c>
      <c r="B142">
        <v>4</v>
      </c>
      <c r="C142">
        <v>32467</v>
      </c>
      <c r="D142">
        <v>33342</v>
      </c>
      <c r="E142" t="s">
        <v>22</v>
      </c>
      <c r="F142" t="s">
        <v>21</v>
      </c>
      <c r="G142">
        <v>13303</v>
      </c>
      <c r="H142">
        <v>11259</v>
      </c>
      <c r="I142" t="s">
        <v>26</v>
      </c>
      <c r="J142" t="s">
        <v>23</v>
      </c>
      <c r="K142">
        <v>1121</v>
      </c>
      <c r="L142">
        <v>164</v>
      </c>
      <c r="M142">
        <v>131.1</v>
      </c>
      <c r="N142" t="s">
        <v>31</v>
      </c>
      <c r="O142">
        <v>0.3</v>
      </c>
      <c r="P142">
        <v>122.28</v>
      </c>
      <c r="Q142" t="s">
        <v>31</v>
      </c>
      <c r="R142">
        <v>0.3</v>
      </c>
      <c r="S142">
        <v>122.28</v>
      </c>
      <c r="T142" s="1" t="s">
        <v>34</v>
      </c>
      <c r="U142" s="1" t="s">
        <v>41</v>
      </c>
    </row>
    <row r="143" spans="1:21" ht="28.8" x14ac:dyDescent="0.3">
      <c r="A143">
        <v>2021</v>
      </c>
      <c r="B143">
        <v>4</v>
      </c>
      <c r="C143">
        <v>32467</v>
      </c>
      <c r="D143">
        <v>33342</v>
      </c>
      <c r="E143" t="s">
        <v>22</v>
      </c>
      <c r="F143" t="s">
        <v>21</v>
      </c>
      <c r="G143">
        <v>11697</v>
      </c>
      <c r="H143">
        <v>11259</v>
      </c>
      <c r="I143" t="s">
        <v>24</v>
      </c>
      <c r="J143" t="s">
        <v>23</v>
      </c>
      <c r="K143">
        <v>1121</v>
      </c>
      <c r="L143">
        <v>192</v>
      </c>
      <c r="M143">
        <v>152.79</v>
      </c>
      <c r="N143" t="s">
        <v>31</v>
      </c>
      <c r="O143">
        <v>0.25</v>
      </c>
      <c r="P143">
        <v>170.14</v>
      </c>
      <c r="Q143" t="s">
        <v>38</v>
      </c>
      <c r="R143">
        <v>0.15</v>
      </c>
      <c r="S143">
        <v>137.13</v>
      </c>
      <c r="T143" s="1" t="s">
        <v>34</v>
      </c>
      <c r="U143" s="1" t="s">
        <v>41</v>
      </c>
    </row>
    <row r="144" spans="1:21" ht="28.8" x14ac:dyDescent="0.3">
      <c r="A144">
        <v>2021</v>
      </c>
      <c r="B144">
        <v>3</v>
      </c>
      <c r="C144">
        <v>32467</v>
      </c>
      <c r="D144">
        <v>33342</v>
      </c>
      <c r="E144" t="s">
        <v>22</v>
      </c>
      <c r="F144" t="s">
        <v>21</v>
      </c>
      <c r="G144">
        <v>11697</v>
      </c>
      <c r="H144">
        <v>11259</v>
      </c>
      <c r="I144" t="s">
        <v>24</v>
      </c>
      <c r="J144" t="s">
        <v>23</v>
      </c>
      <c r="K144">
        <v>1121</v>
      </c>
      <c r="L144">
        <v>212</v>
      </c>
      <c r="M144">
        <v>147.57</v>
      </c>
      <c r="N144" t="s">
        <v>42</v>
      </c>
      <c r="O144">
        <v>0.6</v>
      </c>
      <c r="P144">
        <v>148.82</v>
      </c>
      <c r="Q144" t="s">
        <v>35</v>
      </c>
      <c r="R144">
        <v>0.16</v>
      </c>
      <c r="S144">
        <v>117.31</v>
      </c>
      <c r="T144" s="1" t="s">
        <v>34</v>
      </c>
      <c r="U144" s="1" t="s">
        <v>41</v>
      </c>
    </row>
    <row r="145" spans="1:21" ht="28.8" x14ac:dyDescent="0.3">
      <c r="A145">
        <v>2021</v>
      </c>
      <c r="B145">
        <v>1</v>
      </c>
      <c r="C145">
        <v>32467</v>
      </c>
      <c r="D145">
        <v>33342</v>
      </c>
      <c r="E145" t="s">
        <v>22</v>
      </c>
      <c r="F145" t="s">
        <v>21</v>
      </c>
      <c r="G145">
        <v>11697</v>
      </c>
      <c r="H145">
        <v>11259</v>
      </c>
      <c r="I145" t="s">
        <v>24</v>
      </c>
      <c r="J145" t="s">
        <v>23</v>
      </c>
      <c r="K145">
        <v>1121</v>
      </c>
      <c r="L145">
        <v>378</v>
      </c>
      <c r="M145">
        <v>146.80000000000001</v>
      </c>
      <c r="N145" t="s">
        <v>35</v>
      </c>
      <c r="O145">
        <v>0.68</v>
      </c>
      <c r="P145">
        <v>139.22</v>
      </c>
      <c r="Q145" t="s">
        <v>35</v>
      </c>
      <c r="R145">
        <v>0.68</v>
      </c>
      <c r="S145">
        <v>139.22</v>
      </c>
      <c r="T145" s="1" t="s">
        <v>34</v>
      </c>
      <c r="U145" s="1" t="s">
        <v>41</v>
      </c>
    </row>
    <row r="146" spans="1:21" ht="28.8" x14ac:dyDescent="0.3">
      <c r="A146">
        <v>2021</v>
      </c>
      <c r="B146">
        <v>2</v>
      </c>
      <c r="C146">
        <v>32467</v>
      </c>
      <c r="D146">
        <v>33342</v>
      </c>
      <c r="E146" t="s">
        <v>22</v>
      </c>
      <c r="F146" t="s">
        <v>21</v>
      </c>
      <c r="G146">
        <v>13303</v>
      </c>
      <c r="H146">
        <v>11259</v>
      </c>
      <c r="I146" t="s">
        <v>26</v>
      </c>
      <c r="J146" t="s">
        <v>23</v>
      </c>
      <c r="K146">
        <v>1121</v>
      </c>
      <c r="L146">
        <v>102</v>
      </c>
      <c r="M146">
        <v>164.26</v>
      </c>
      <c r="N146" t="s">
        <v>36</v>
      </c>
      <c r="O146">
        <v>0.36</v>
      </c>
      <c r="P146">
        <v>159.97999999999999</v>
      </c>
      <c r="Q146" t="s">
        <v>36</v>
      </c>
      <c r="R146">
        <v>0.36</v>
      </c>
      <c r="S146">
        <v>159.97999999999999</v>
      </c>
      <c r="T146" s="1" t="s">
        <v>34</v>
      </c>
      <c r="U146" s="1" t="s">
        <v>41</v>
      </c>
    </row>
    <row r="147" spans="1:21" ht="28.8" x14ac:dyDescent="0.3">
      <c r="A147">
        <v>2021</v>
      </c>
      <c r="B147">
        <v>1</v>
      </c>
      <c r="C147">
        <v>32467</v>
      </c>
      <c r="D147">
        <v>33342</v>
      </c>
      <c r="E147" t="s">
        <v>22</v>
      </c>
      <c r="F147" t="s">
        <v>21</v>
      </c>
      <c r="G147">
        <v>11697</v>
      </c>
      <c r="H147">
        <v>11259</v>
      </c>
      <c r="I147" t="s">
        <v>24</v>
      </c>
      <c r="J147" t="s">
        <v>23</v>
      </c>
      <c r="K147">
        <v>1121</v>
      </c>
      <c r="L147">
        <v>226</v>
      </c>
      <c r="M147">
        <v>136.47999999999999</v>
      </c>
      <c r="N147" t="s">
        <v>36</v>
      </c>
      <c r="O147">
        <v>0.32</v>
      </c>
      <c r="P147">
        <v>126.71</v>
      </c>
      <c r="Q147" t="s">
        <v>36</v>
      </c>
      <c r="R147">
        <v>0.32</v>
      </c>
      <c r="S147">
        <v>126.71</v>
      </c>
      <c r="T147" s="1" t="s">
        <v>34</v>
      </c>
      <c r="U147" s="1" t="s">
        <v>41</v>
      </c>
    </row>
    <row r="148" spans="1:21" ht="28.8" x14ac:dyDescent="0.3">
      <c r="A148">
        <v>2021</v>
      </c>
      <c r="B148">
        <v>1</v>
      </c>
      <c r="C148">
        <v>32467</v>
      </c>
      <c r="D148">
        <v>33342</v>
      </c>
      <c r="E148" t="s">
        <v>22</v>
      </c>
      <c r="F148" t="s">
        <v>21</v>
      </c>
      <c r="G148">
        <v>11697</v>
      </c>
      <c r="H148">
        <v>11259</v>
      </c>
      <c r="I148" t="s">
        <v>24</v>
      </c>
      <c r="J148" t="s">
        <v>23</v>
      </c>
      <c r="K148">
        <v>1121</v>
      </c>
      <c r="L148">
        <v>533</v>
      </c>
      <c r="M148">
        <v>138.6</v>
      </c>
      <c r="N148" t="s">
        <v>35</v>
      </c>
      <c r="O148">
        <v>0.48</v>
      </c>
      <c r="P148">
        <v>140.56</v>
      </c>
      <c r="Q148" t="s">
        <v>42</v>
      </c>
      <c r="R148">
        <v>0.23</v>
      </c>
      <c r="S148">
        <v>129.91</v>
      </c>
      <c r="T148" s="1" t="s">
        <v>34</v>
      </c>
      <c r="U148" s="1" t="s">
        <v>41</v>
      </c>
    </row>
    <row r="149" spans="1:21" ht="28.8" x14ac:dyDescent="0.3">
      <c r="A149">
        <v>2021</v>
      </c>
      <c r="B149">
        <v>1</v>
      </c>
      <c r="C149">
        <v>32467</v>
      </c>
      <c r="D149">
        <v>33342</v>
      </c>
      <c r="E149" t="s">
        <v>22</v>
      </c>
      <c r="F149" t="s">
        <v>21</v>
      </c>
      <c r="G149">
        <v>13303</v>
      </c>
      <c r="H149">
        <v>11259</v>
      </c>
      <c r="I149" t="s">
        <v>26</v>
      </c>
      <c r="J149" t="s">
        <v>23</v>
      </c>
      <c r="K149">
        <v>1121</v>
      </c>
      <c r="L149">
        <v>114</v>
      </c>
      <c r="M149">
        <v>209.19</v>
      </c>
      <c r="N149" t="s">
        <v>31</v>
      </c>
      <c r="O149">
        <v>0.25</v>
      </c>
      <c r="P149">
        <v>192.96</v>
      </c>
      <c r="Q149" t="s">
        <v>35</v>
      </c>
      <c r="R149">
        <v>0.12</v>
      </c>
      <c r="S149">
        <v>191.22</v>
      </c>
      <c r="T149" s="1" t="s">
        <v>34</v>
      </c>
      <c r="U149" s="1" t="s">
        <v>41</v>
      </c>
    </row>
    <row r="150" spans="1:21" ht="28.8" x14ac:dyDescent="0.3">
      <c r="A150">
        <v>2021</v>
      </c>
      <c r="B150">
        <v>3</v>
      </c>
      <c r="C150">
        <v>32467</v>
      </c>
      <c r="D150">
        <v>33342</v>
      </c>
      <c r="E150" t="s">
        <v>22</v>
      </c>
      <c r="F150" t="s">
        <v>21</v>
      </c>
      <c r="G150">
        <v>11697</v>
      </c>
      <c r="H150">
        <v>11259</v>
      </c>
      <c r="I150" t="s">
        <v>24</v>
      </c>
      <c r="J150" t="s">
        <v>23</v>
      </c>
      <c r="K150">
        <v>1121</v>
      </c>
      <c r="L150">
        <v>204</v>
      </c>
      <c r="M150">
        <v>108.62</v>
      </c>
      <c r="N150" t="s">
        <v>35</v>
      </c>
      <c r="O150">
        <v>0.35</v>
      </c>
      <c r="P150">
        <v>96.11</v>
      </c>
      <c r="Q150" t="s">
        <v>35</v>
      </c>
      <c r="R150">
        <v>0.35</v>
      </c>
      <c r="S150">
        <v>96.11</v>
      </c>
      <c r="T150" s="1" t="s">
        <v>34</v>
      </c>
      <c r="U150" s="1" t="s">
        <v>41</v>
      </c>
    </row>
    <row r="151" spans="1:21" ht="28.8" x14ac:dyDescent="0.3">
      <c r="A151">
        <v>2021</v>
      </c>
      <c r="B151">
        <v>3</v>
      </c>
      <c r="C151">
        <v>32467</v>
      </c>
      <c r="D151">
        <v>33342</v>
      </c>
      <c r="E151" t="s">
        <v>22</v>
      </c>
      <c r="F151" t="s">
        <v>21</v>
      </c>
      <c r="G151">
        <v>13303</v>
      </c>
      <c r="H151">
        <v>11259</v>
      </c>
      <c r="I151" t="s">
        <v>26</v>
      </c>
      <c r="J151" t="s">
        <v>23</v>
      </c>
      <c r="K151">
        <v>1121</v>
      </c>
      <c r="L151">
        <v>100</v>
      </c>
      <c r="M151">
        <v>164.15</v>
      </c>
      <c r="N151" t="s">
        <v>36</v>
      </c>
      <c r="O151">
        <v>0.31</v>
      </c>
      <c r="P151">
        <v>148.66999999999999</v>
      </c>
      <c r="Q151" t="s">
        <v>36</v>
      </c>
      <c r="R151">
        <v>0.31</v>
      </c>
      <c r="S151">
        <v>148.66999999999999</v>
      </c>
      <c r="T151" s="1" t="s">
        <v>34</v>
      </c>
      <c r="U151" s="1" t="s">
        <v>41</v>
      </c>
    </row>
    <row r="152" spans="1:21" ht="28.8" x14ac:dyDescent="0.3">
      <c r="A152">
        <v>2021</v>
      </c>
      <c r="B152">
        <v>2</v>
      </c>
      <c r="C152">
        <v>32467</v>
      </c>
      <c r="D152">
        <v>33342</v>
      </c>
      <c r="E152" t="s">
        <v>22</v>
      </c>
      <c r="F152" t="s">
        <v>21</v>
      </c>
      <c r="G152">
        <v>13303</v>
      </c>
      <c r="H152">
        <v>11259</v>
      </c>
      <c r="I152" t="s">
        <v>26</v>
      </c>
      <c r="J152" t="s">
        <v>23</v>
      </c>
      <c r="K152">
        <v>1121</v>
      </c>
      <c r="L152">
        <v>99</v>
      </c>
      <c r="M152">
        <v>166.42</v>
      </c>
      <c r="N152" t="s">
        <v>31</v>
      </c>
      <c r="O152">
        <v>0.28000000000000003</v>
      </c>
      <c r="P152">
        <v>154.07</v>
      </c>
      <c r="Q152" t="s">
        <v>38</v>
      </c>
      <c r="R152">
        <v>0.12</v>
      </c>
      <c r="S152">
        <v>151.43</v>
      </c>
      <c r="T152" s="1" t="s">
        <v>34</v>
      </c>
      <c r="U152" s="1" t="s">
        <v>41</v>
      </c>
    </row>
    <row r="153" spans="1:21" ht="28.8" x14ac:dyDescent="0.3">
      <c r="A153">
        <v>2021</v>
      </c>
      <c r="B153">
        <v>2</v>
      </c>
      <c r="C153">
        <v>32467</v>
      </c>
      <c r="D153">
        <v>33342</v>
      </c>
      <c r="E153" t="s">
        <v>22</v>
      </c>
      <c r="F153" t="s">
        <v>21</v>
      </c>
      <c r="G153">
        <v>13303</v>
      </c>
      <c r="H153">
        <v>11259</v>
      </c>
      <c r="I153" t="s">
        <v>26</v>
      </c>
      <c r="J153" t="s">
        <v>23</v>
      </c>
      <c r="K153">
        <v>1121</v>
      </c>
      <c r="L153">
        <v>120</v>
      </c>
      <c r="M153">
        <v>177.03</v>
      </c>
      <c r="N153" t="s">
        <v>36</v>
      </c>
      <c r="O153">
        <v>0.53</v>
      </c>
      <c r="P153">
        <v>159.79</v>
      </c>
      <c r="Q153" t="s">
        <v>36</v>
      </c>
      <c r="R153">
        <v>0.53</v>
      </c>
      <c r="S153">
        <v>159.79</v>
      </c>
      <c r="T153" s="1" t="s">
        <v>34</v>
      </c>
      <c r="U153" s="1" t="s">
        <v>41</v>
      </c>
    </row>
    <row r="154" spans="1:21" ht="28.8" x14ac:dyDescent="0.3">
      <c r="A154">
        <v>2021</v>
      </c>
      <c r="B154">
        <v>1</v>
      </c>
      <c r="C154">
        <v>32467</v>
      </c>
      <c r="D154">
        <v>33342</v>
      </c>
      <c r="E154" t="s">
        <v>22</v>
      </c>
      <c r="F154" t="s">
        <v>21</v>
      </c>
      <c r="G154">
        <v>11697</v>
      </c>
      <c r="H154">
        <v>11259</v>
      </c>
      <c r="I154" t="s">
        <v>24</v>
      </c>
      <c r="J154" t="s">
        <v>23</v>
      </c>
      <c r="K154">
        <v>1121</v>
      </c>
      <c r="L154">
        <v>544</v>
      </c>
      <c r="M154">
        <v>168.31</v>
      </c>
      <c r="N154" t="s">
        <v>35</v>
      </c>
      <c r="O154">
        <v>0.4</v>
      </c>
      <c r="P154">
        <v>163.16</v>
      </c>
      <c r="Q154" t="s">
        <v>25</v>
      </c>
      <c r="R154">
        <v>0.12</v>
      </c>
      <c r="S154">
        <v>162.25</v>
      </c>
      <c r="T154" s="1" t="s">
        <v>34</v>
      </c>
      <c r="U154" s="1" t="s">
        <v>41</v>
      </c>
    </row>
    <row r="155" spans="1:21" ht="28.8" x14ac:dyDescent="0.3">
      <c r="A155">
        <v>2021</v>
      </c>
      <c r="B155">
        <v>1</v>
      </c>
      <c r="C155">
        <v>32467</v>
      </c>
      <c r="D155">
        <v>33342</v>
      </c>
      <c r="E155" t="s">
        <v>22</v>
      </c>
      <c r="F155" t="s">
        <v>21</v>
      </c>
      <c r="G155">
        <v>13303</v>
      </c>
      <c r="H155">
        <v>11259</v>
      </c>
      <c r="I155" t="s">
        <v>26</v>
      </c>
      <c r="J155" t="s">
        <v>23</v>
      </c>
      <c r="K155">
        <v>1121</v>
      </c>
      <c r="L155">
        <v>152</v>
      </c>
      <c r="M155">
        <v>148.78</v>
      </c>
      <c r="N155" t="s">
        <v>31</v>
      </c>
      <c r="O155">
        <v>0.37</v>
      </c>
      <c r="P155">
        <v>137.84</v>
      </c>
      <c r="Q155" t="s">
        <v>31</v>
      </c>
      <c r="R155">
        <v>0.37</v>
      </c>
      <c r="S155">
        <v>137.84</v>
      </c>
      <c r="T155" s="1" t="s">
        <v>34</v>
      </c>
      <c r="U155" s="1" t="s">
        <v>41</v>
      </c>
    </row>
    <row r="156" spans="1:21" ht="28.8" x14ac:dyDescent="0.3">
      <c r="A156">
        <v>2021</v>
      </c>
      <c r="B156">
        <v>4</v>
      </c>
      <c r="C156">
        <v>32467</v>
      </c>
      <c r="D156">
        <v>33342</v>
      </c>
      <c r="E156" t="s">
        <v>22</v>
      </c>
      <c r="F156" t="s">
        <v>21</v>
      </c>
      <c r="G156">
        <v>11697</v>
      </c>
      <c r="H156">
        <v>11259</v>
      </c>
      <c r="I156" t="s">
        <v>24</v>
      </c>
      <c r="J156" t="s">
        <v>23</v>
      </c>
      <c r="K156">
        <v>1121</v>
      </c>
      <c r="L156">
        <v>145</v>
      </c>
      <c r="M156">
        <v>132.35</v>
      </c>
      <c r="N156" t="s">
        <v>36</v>
      </c>
      <c r="O156">
        <v>0.35</v>
      </c>
      <c r="P156">
        <v>121.09</v>
      </c>
      <c r="Q156" t="s">
        <v>36</v>
      </c>
      <c r="R156">
        <v>0.35</v>
      </c>
      <c r="S156">
        <v>121.09</v>
      </c>
      <c r="T156" s="1" t="s">
        <v>34</v>
      </c>
      <c r="U156" s="1" t="s">
        <v>41</v>
      </c>
    </row>
    <row r="157" spans="1:21" ht="28.8" x14ac:dyDescent="0.3">
      <c r="A157">
        <v>2021</v>
      </c>
      <c r="B157">
        <v>3</v>
      </c>
      <c r="C157">
        <v>32467</v>
      </c>
      <c r="D157">
        <v>33342</v>
      </c>
      <c r="E157" t="s">
        <v>22</v>
      </c>
      <c r="F157" t="s">
        <v>21</v>
      </c>
      <c r="G157">
        <v>13303</v>
      </c>
      <c r="H157">
        <v>11259</v>
      </c>
      <c r="I157" t="s">
        <v>26</v>
      </c>
      <c r="J157" t="s">
        <v>23</v>
      </c>
      <c r="K157">
        <v>1121</v>
      </c>
      <c r="L157">
        <v>82</v>
      </c>
      <c r="M157">
        <v>178.53</v>
      </c>
      <c r="N157" t="s">
        <v>36</v>
      </c>
      <c r="O157">
        <v>0.41</v>
      </c>
      <c r="P157">
        <v>155.72</v>
      </c>
      <c r="Q157" t="s">
        <v>36</v>
      </c>
      <c r="R157">
        <v>0.41</v>
      </c>
      <c r="S157">
        <v>155.72</v>
      </c>
      <c r="T157" s="1" t="s">
        <v>34</v>
      </c>
      <c r="U157" s="1" t="s">
        <v>41</v>
      </c>
    </row>
    <row r="158" spans="1:21" ht="28.8" x14ac:dyDescent="0.3">
      <c r="A158">
        <v>2021</v>
      </c>
      <c r="B158">
        <v>2</v>
      </c>
      <c r="C158">
        <v>32467</v>
      </c>
      <c r="D158">
        <v>33342</v>
      </c>
      <c r="E158" t="s">
        <v>22</v>
      </c>
      <c r="F158" t="s">
        <v>21</v>
      </c>
      <c r="G158">
        <v>13303</v>
      </c>
      <c r="H158">
        <v>11259</v>
      </c>
      <c r="I158" t="s">
        <v>26</v>
      </c>
      <c r="J158" t="s">
        <v>23</v>
      </c>
      <c r="K158">
        <v>1121</v>
      </c>
      <c r="L158">
        <v>158</v>
      </c>
      <c r="M158">
        <v>148.03</v>
      </c>
      <c r="N158" t="s">
        <v>31</v>
      </c>
      <c r="O158">
        <v>0.35</v>
      </c>
      <c r="P158">
        <v>146.94999999999999</v>
      </c>
      <c r="Q158" t="s">
        <v>28</v>
      </c>
      <c r="R158">
        <v>0.18</v>
      </c>
      <c r="S158">
        <v>141.44999999999999</v>
      </c>
      <c r="T158" s="1" t="s">
        <v>34</v>
      </c>
      <c r="U158" s="1" t="s">
        <v>41</v>
      </c>
    </row>
    <row r="159" spans="1:21" ht="28.8" x14ac:dyDescent="0.3">
      <c r="A159">
        <v>2021</v>
      </c>
      <c r="B159">
        <v>2</v>
      </c>
      <c r="C159">
        <v>32467</v>
      </c>
      <c r="D159">
        <v>33342</v>
      </c>
      <c r="E159" t="s">
        <v>22</v>
      </c>
      <c r="F159" t="s">
        <v>21</v>
      </c>
      <c r="G159">
        <v>11697</v>
      </c>
      <c r="H159">
        <v>11259</v>
      </c>
      <c r="I159" t="s">
        <v>24</v>
      </c>
      <c r="J159" t="s">
        <v>23</v>
      </c>
      <c r="K159">
        <v>1121</v>
      </c>
      <c r="L159">
        <v>174</v>
      </c>
      <c r="M159">
        <v>168.13</v>
      </c>
      <c r="N159" t="s">
        <v>31</v>
      </c>
      <c r="O159">
        <v>0.25</v>
      </c>
      <c r="P159">
        <v>177.61</v>
      </c>
      <c r="Q159" t="s">
        <v>38</v>
      </c>
      <c r="R159">
        <v>0.23</v>
      </c>
      <c r="S159">
        <v>138.38999999999999</v>
      </c>
      <c r="T159" s="1" t="s">
        <v>34</v>
      </c>
      <c r="U159" s="1" t="s">
        <v>41</v>
      </c>
    </row>
    <row r="160" spans="1:21" ht="28.8" x14ac:dyDescent="0.3">
      <c r="A160">
        <v>2021</v>
      </c>
      <c r="B160">
        <v>1</v>
      </c>
      <c r="C160">
        <v>32467</v>
      </c>
      <c r="D160">
        <v>33342</v>
      </c>
      <c r="E160" t="s">
        <v>22</v>
      </c>
      <c r="F160" t="s">
        <v>21</v>
      </c>
      <c r="G160">
        <v>13303</v>
      </c>
      <c r="H160">
        <v>11259</v>
      </c>
      <c r="I160" t="s">
        <v>26</v>
      </c>
      <c r="J160" t="s">
        <v>23</v>
      </c>
      <c r="K160">
        <v>1121</v>
      </c>
      <c r="L160">
        <v>209</v>
      </c>
      <c r="M160">
        <v>150.76</v>
      </c>
      <c r="N160" t="s">
        <v>36</v>
      </c>
      <c r="O160">
        <v>0.49</v>
      </c>
      <c r="P160">
        <v>140.66</v>
      </c>
      <c r="Q160" t="s">
        <v>36</v>
      </c>
      <c r="R160">
        <v>0.49</v>
      </c>
      <c r="S160">
        <v>140.66</v>
      </c>
      <c r="T160" s="1" t="s">
        <v>34</v>
      </c>
      <c r="U160" s="1" t="s">
        <v>41</v>
      </c>
    </row>
    <row r="161" spans="1:21" ht="28.8" x14ac:dyDescent="0.3">
      <c r="A161">
        <v>2021</v>
      </c>
      <c r="B161">
        <v>1</v>
      </c>
      <c r="C161">
        <v>32467</v>
      </c>
      <c r="D161">
        <v>33342</v>
      </c>
      <c r="E161" t="s">
        <v>22</v>
      </c>
      <c r="F161" t="s">
        <v>21</v>
      </c>
      <c r="G161">
        <v>11697</v>
      </c>
      <c r="H161">
        <v>11259</v>
      </c>
      <c r="I161" t="s">
        <v>24</v>
      </c>
      <c r="J161" t="s">
        <v>23</v>
      </c>
      <c r="K161">
        <v>1121</v>
      </c>
      <c r="L161">
        <v>247</v>
      </c>
      <c r="M161">
        <v>160.99</v>
      </c>
      <c r="N161" t="s">
        <v>36</v>
      </c>
      <c r="O161">
        <v>0.19</v>
      </c>
      <c r="P161">
        <v>156.02000000000001</v>
      </c>
      <c r="Q161" t="s">
        <v>38</v>
      </c>
      <c r="R161">
        <v>0.16</v>
      </c>
      <c r="S161">
        <v>150.85</v>
      </c>
      <c r="T161" s="1" t="s">
        <v>34</v>
      </c>
      <c r="U161" s="1" t="s">
        <v>41</v>
      </c>
    </row>
    <row r="162" spans="1:21" ht="28.8" x14ac:dyDescent="0.3">
      <c r="A162">
        <v>2021</v>
      </c>
      <c r="B162">
        <v>3</v>
      </c>
      <c r="C162">
        <v>32467</v>
      </c>
      <c r="D162">
        <v>33342</v>
      </c>
      <c r="E162" t="s">
        <v>22</v>
      </c>
      <c r="F162" t="s">
        <v>21</v>
      </c>
      <c r="G162">
        <v>11697</v>
      </c>
      <c r="H162">
        <v>11259</v>
      </c>
      <c r="I162" t="s">
        <v>24</v>
      </c>
      <c r="J162" t="s">
        <v>23</v>
      </c>
      <c r="K162">
        <v>1121</v>
      </c>
      <c r="L162">
        <v>168</v>
      </c>
      <c r="M162">
        <v>110.37</v>
      </c>
      <c r="N162" t="s">
        <v>31</v>
      </c>
      <c r="O162">
        <v>0.49</v>
      </c>
      <c r="P162">
        <v>110.29</v>
      </c>
      <c r="Q162" t="s">
        <v>36</v>
      </c>
      <c r="R162">
        <v>0.12</v>
      </c>
      <c r="S162">
        <v>108.24</v>
      </c>
      <c r="T162" s="1" t="s">
        <v>34</v>
      </c>
      <c r="U162" s="1" t="s">
        <v>41</v>
      </c>
    </row>
    <row r="163" spans="1:21" ht="28.8" x14ac:dyDescent="0.3">
      <c r="A163">
        <v>2021</v>
      </c>
      <c r="B163">
        <v>2</v>
      </c>
      <c r="C163">
        <v>32467</v>
      </c>
      <c r="D163">
        <v>33342</v>
      </c>
      <c r="E163" t="s">
        <v>22</v>
      </c>
      <c r="F163" t="s">
        <v>21</v>
      </c>
      <c r="G163">
        <v>13303</v>
      </c>
      <c r="H163">
        <v>11259</v>
      </c>
      <c r="I163" t="s">
        <v>26</v>
      </c>
      <c r="J163" t="s">
        <v>23</v>
      </c>
      <c r="K163">
        <v>1121</v>
      </c>
      <c r="L163">
        <v>110</v>
      </c>
      <c r="M163">
        <v>167.61</v>
      </c>
      <c r="N163" t="s">
        <v>31</v>
      </c>
      <c r="O163">
        <v>0.54</v>
      </c>
      <c r="P163">
        <v>157.94</v>
      </c>
      <c r="Q163" t="s">
        <v>31</v>
      </c>
      <c r="R163">
        <v>0.54</v>
      </c>
      <c r="S163">
        <v>157.94</v>
      </c>
      <c r="T163" s="1" t="s">
        <v>34</v>
      </c>
      <c r="U163" s="1" t="s">
        <v>41</v>
      </c>
    </row>
    <row r="164" spans="1:21" ht="28.8" x14ac:dyDescent="0.3">
      <c r="A164">
        <v>2021</v>
      </c>
      <c r="B164">
        <v>3</v>
      </c>
      <c r="C164">
        <v>32467</v>
      </c>
      <c r="D164">
        <v>33342</v>
      </c>
      <c r="E164" t="s">
        <v>22</v>
      </c>
      <c r="F164" t="s">
        <v>21</v>
      </c>
      <c r="G164">
        <v>11697</v>
      </c>
      <c r="H164">
        <v>11259</v>
      </c>
      <c r="I164" t="s">
        <v>24</v>
      </c>
      <c r="J164" t="s">
        <v>23</v>
      </c>
      <c r="K164">
        <v>1121</v>
      </c>
      <c r="L164">
        <v>206</v>
      </c>
      <c r="M164">
        <v>132.33000000000001</v>
      </c>
      <c r="N164" t="s">
        <v>35</v>
      </c>
      <c r="O164">
        <v>0.36</v>
      </c>
      <c r="P164">
        <v>129.88999999999999</v>
      </c>
      <c r="Q164" t="s">
        <v>35</v>
      </c>
      <c r="R164">
        <v>0.36</v>
      </c>
      <c r="S164">
        <v>129.88999999999999</v>
      </c>
      <c r="T164" s="1" t="s">
        <v>34</v>
      </c>
      <c r="U164" s="1" t="s">
        <v>41</v>
      </c>
    </row>
    <row r="165" spans="1:21" ht="28.8" x14ac:dyDescent="0.3">
      <c r="A165">
        <v>2021</v>
      </c>
      <c r="B165">
        <v>4</v>
      </c>
      <c r="C165">
        <v>32467</v>
      </c>
      <c r="D165">
        <v>33342</v>
      </c>
      <c r="E165" t="s">
        <v>22</v>
      </c>
      <c r="F165" t="s">
        <v>21</v>
      </c>
      <c r="G165">
        <v>11697</v>
      </c>
      <c r="H165">
        <v>11259</v>
      </c>
      <c r="I165" t="s">
        <v>24</v>
      </c>
      <c r="J165" t="s">
        <v>23</v>
      </c>
      <c r="K165">
        <v>1121</v>
      </c>
      <c r="L165">
        <v>343</v>
      </c>
      <c r="M165">
        <v>195.41</v>
      </c>
      <c r="N165" t="s">
        <v>25</v>
      </c>
      <c r="O165">
        <v>0.57999999999999996</v>
      </c>
      <c r="P165">
        <v>189.17</v>
      </c>
      <c r="Q165" t="s">
        <v>25</v>
      </c>
      <c r="R165">
        <v>0.57999999999999996</v>
      </c>
      <c r="S165">
        <v>189.17</v>
      </c>
      <c r="T165" s="1" t="s">
        <v>34</v>
      </c>
      <c r="U165" s="1" t="s">
        <v>41</v>
      </c>
    </row>
    <row r="166" spans="1:21" ht="28.8" x14ac:dyDescent="0.3">
      <c r="A166">
        <v>2021</v>
      </c>
      <c r="B166">
        <v>4</v>
      </c>
      <c r="C166">
        <v>32467</v>
      </c>
      <c r="D166">
        <v>33342</v>
      </c>
      <c r="E166" t="s">
        <v>22</v>
      </c>
      <c r="F166" t="s">
        <v>21</v>
      </c>
      <c r="G166">
        <v>11697</v>
      </c>
      <c r="H166">
        <v>11259</v>
      </c>
      <c r="I166" t="s">
        <v>24</v>
      </c>
      <c r="J166" t="s">
        <v>23</v>
      </c>
      <c r="K166">
        <v>1121</v>
      </c>
      <c r="L166">
        <v>154</v>
      </c>
      <c r="M166">
        <v>141.78</v>
      </c>
      <c r="N166" t="s">
        <v>44</v>
      </c>
      <c r="O166">
        <v>0.39</v>
      </c>
      <c r="P166">
        <v>101.63</v>
      </c>
      <c r="Q166" t="s">
        <v>44</v>
      </c>
      <c r="R166">
        <v>0.39</v>
      </c>
      <c r="S166">
        <v>101.63</v>
      </c>
      <c r="T166" s="1" t="s">
        <v>34</v>
      </c>
      <c r="U166" s="1" t="s">
        <v>41</v>
      </c>
    </row>
    <row r="167" spans="1:21" ht="28.8" x14ac:dyDescent="0.3">
      <c r="A167">
        <v>2021</v>
      </c>
      <c r="B167">
        <v>4</v>
      </c>
      <c r="C167">
        <v>32467</v>
      </c>
      <c r="D167">
        <v>33342</v>
      </c>
      <c r="E167" t="s">
        <v>22</v>
      </c>
      <c r="F167" t="s">
        <v>21</v>
      </c>
      <c r="G167">
        <v>11697</v>
      </c>
      <c r="H167">
        <v>11259</v>
      </c>
      <c r="I167" t="s">
        <v>24</v>
      </c>
      <c r="J167" t="s">
        <v>23</v>
      </c>
      <c r="K167">
        <v>1121</v>
      </c>
      <c r="L167">
        <v>320</v>
      </c>
      <c r="M167">
        <v>131.38999999999999</v>
      </c>
      <c r="N167" t="s">
        <v>35</v>
      </c>
      <c r="O167">
        <v>0.54</v>
      </c>
      <c r="P167">
        <v>127.24</v>
      </c>
      <c r="Q167" t="s">
        <v>25</v>
      </c>
      <c r="R167">
        <v>0.12</v>
      </c>
      <c r="S167">
        <v>125.95</v>
      </c>
      <c r="T167" s="1" t="s">
        <v>34</v>
      </c>
      <c r="U167" s="1" t="s">
        <v>41</v>
      </c>
    </row>
    <row r="168" spans="1:21" ht="28.8" x14ac:dyDescent="0.3">
      <c r="A168">
        <v>2021</v>
      </c>
      <c r="B168">
        <v>4</v>
      </c>
      <c r="C168">
        <v>32467</v>
      </c>
      <c r="D168">
        <v>33342</v>
      </c>
      <c r="E168" t="s">
        <v>22</v>
      </c>
      <c r="F168" t="s">
        <v>21</v>
      </c>
      <c r="G168">
        <v>13303</v>
      </c>
      <c r="H168">
        <v>11259</v>
      </c>
      <c r="I168" t="s">
        <v>26</v>
      </c>
      <c r="J168" t="s">
        <v>23</v>
      </c>
      <c r="K168">
        <v>1121</v>
      </c>
      <c r="L168">
        <v>114</v>
      </c>
      <c r="M168">
        <v>140.44999999999999</v>
      </c>
      <c r="N168" t="s">
        <v>31</v>
      </c>
      <c r="O168">
        <v>0.33</v>
      </c>
      <c r="P168">
        <v>130.25</v>
      </c>
      <c r="Q168" t="s">
        <v>31</v>
      </c>
      <c r="R168">
        <v>0.33</v>
      </c>
      <c r="S168">
        <v>130.25</v>
      </c>
      <c r="T168" s="1" t="s">
        <v>34</v>
      </c>
      <c r="U168" s="1" t="s">
        <v>41</v>
      </c>
    </row>
    <row r="169" spans="1:21" ht="28.8" x14ac:dyDescent="0.3">
      <c r="A169">
        <v>2021</v>
      </c>
      <c r="B169">
        <v>1</v>
      </c>
      <c r="C169">
        <v>32467</v>
      </c>
      <c r="D169">
        <v>33342</v>
      </c>
      <c r="E169" t="s">
        <v>22</v>
      </c>
      <c r="F169" t="s">
        <v>21</v>
      </c>
      <c r="G169">
        <v>13303</v>
      </c>
      <c r="H169">
        <v>11259</v>
      </c>
      <c r="I169" t="s">
        <v>26</v>
      </c>
      <c r="J169" t="s">
        <v>23</v>
      </c>
      <c r="K169">
        <v>1121</v>
      </c>
      <c r="L169">
        <v>253</v>
      </c>
      <c r="M169">
        <v>131.05000000000001</v>
      </c>
      <c r="N169" t="s">
        <v>36</v>
      </c>
      <c r="O169">
        <v>0.44</v>
      </c>
      <c r="P169">
        <v>128.97</v>
      </c>
      <c r="Q169" t="s">
        <v>28</v>
      </c>
      <c r="R169">
        <v>0.21</v>
      </c>
      <c r="S169">
        <v>118.54</v>
      </c>
      <c r="T169" s="1" t="s">
        <v>34</v>
      </c>
      <c r="U169" s="1" t="s">
        <v>41</v>
      </c>
    </row>
    <row r="170" spans="1:21" ht="28.8" x14ac:dyDescent="0.3">
      <c r="A170">
        <v>2021</v>
      </c>
      <c r="B170">
        <v>4</v>
      </c>
      <c r="C170">
        <v>32467</v>
      </c>
      <c r="D170">
        <v>33342</v>
      </c>
      <c r="E170" t="s">
        <v>22</v>
      </c>
      <c r="F170" t="s">
        <v>21</v>
      </c>
      <c r="G170">
        <v>11697</v>
      </c>
      <c r="H170">
        <v>11259</v>
      </c>
      <c r="I170" t="s">
        <v>24</v>
      </c>
      <c r="J170" t="s">
        <v>23</v>
      </c>
      <c r="K170">
        <v>1121</v>
      </c>
      <c r="L170">
        <v>342</v>
      </c>
      <c r="M170">
        <v>174.14</v>
      </c>
      <c r="N170" t="s">
        <v>35</v>
      </c>
      <c r="O170">
        <v>0.6</v>
      </c>
      <c r="P170">
        <v>168.15</v>
      </c>
      <c r="Q170" t="s">
        <v>35</v>
      </c>
      <c r="R170">
        <v>0.6</v>
      </c>
      <c r="S170">
        <v>168.15</v>
      </c>
      <c r="T170" s="1" t="s">
        <v>34</v>
      </c>
      <c r="U170" s="1" t="s">
        <v>41</v>
      </c>
    </row>
    <row r="171" spans="1:21" ht="28.8" x14ac:dyDescent="0.3">
      <c r="A171">
        <v>2021</v>
      </c>
      <c r="B171">
        <v>2</v>
      </c>
      <c r="C171">
        <v>32467</v>
      </c>
      <c r="D171">
        <v>33342</v>
      </c>
      <c r="E171" t="s">
        <v>22</v>
      </c>
      <c r="F171" t="s">
        <v>21</v>
      </c>
      <c r="G171">
        <v>13303</v>
      </c>
      <c r="H171">
        <v>11259</v>
      </c>
      <c r="I171" t="s">
        <v>26</v>
      </c>
      <c r="J171" t="s">
        <v>23</v>
      </c>
      <c r="K171">
        <v>1121</v>
      </c>
      <c r="L171">
        <v>69</v>
      </c>
      <c r="M171">
        <v>212.96</v>
      </c>
      <c r="N171" t="s">
        <v>31</v>
      </c>
      <c r="O171">
        <v>0.62</v>
      </c>
      <c r="P171">
        <v>204.44</v>
      </c>
      <c r="Q171" t="s">
        <v>31</v>
      </c>
      <c r="R171">
        <v>0.62</v>
      </c>
      <c r="S171">
        <v>204.44</v>
      </c>
      <c r="T171" s="1" t="s">
        <v>34</v>
      </c>
      <c r="U171" s="1" t="s">
        <v>41</v>
      </c>
    </row>
    <row r="172" spans="1:21" ht="28.8" x14ac:dyDescent="0.3">
      <c r="A172">
        <v>2021</v>
      </c>
      <c r="B172">
        <v>4</v>
      </c>
      <c r="C172">
        <v>32467</v>
      </c>
      <c r="D172">
        <v>33342</v>
      </c>
      <c r="E172" t="s">
        <v>22</v>
      </c>
      <c r="F172" t="s">
        <v>21</v>
      </c>
      <c r="G172">
        <v>11697</v>
      </c>
      <c r="H172">
        <v>11259</v>
      </c>
      <c r="I172" t="s">
        <v>24</v>
      </c>
      <c r="J172" t="s">
        <v>23</v>
      </c>
      <c r="K172">
        <v>1121</v>
      </c>
      <c r="L172">
        <v>307</v>
      </c>
      <c r="M172">
        <v>193.27</v>
      </c>
      <c r="N172" t="s">
        <v>25</v>
      </c>
      <c r="O172">
        <v>0.69</v>
      </c>
      <c r="P172">
        <v>193.91</v>
      </c>
      <c r="Q172" t="s">
        <v>31</v>
      </c>
      <c r="R172">
        <v>0.21</v>
      </c>
      <c r="S172">
        <v>191.32</v>
      </c>
      <c r="T172" s="1" t="s">
        <v>34</v>
      </c>
      <c r="U172" s="1" t="s">
        <v>41</v>
      </c>
    </row>
    <row r="173" spans="1:21" ht="28.8" x14ac:dyDescent="0.3">
      <c r="A173">
        <v>2021</v>
      </c>
      <c r="B173">
        <v>1</v>
      </c>
      <c r="C173">
        <v>32467</v>
      </c>
      <c r="D173">
        <v>33342</v>
      </c>
      <c r="E173" t="s">
        <v>22</v>
      </c>
      <c r="F173" t="s">
        <v>21</v>
      </c>
      <c r="G173">
        <v>11697</v>
      </c>
      <c r="H173">
        <v>11259</v>
      </c>
      <c r="I173" t="s">
        <v>24</v>
      </c>
      <c r="J173" t="s">
        <v>23</v>
      </c>
      <c r="K173">
        <v>1121</v>
      </c>
      <c r="L173">
        <v>554</v>
      </c>
      <c r="M173">
        <v>188.48</v>
      </c>
      <c r="N173" t="s">
        <v>25</v>
      </c>
      <c r="O173">
        <v>0.78</v>
      </c>
      <c r="P173">
        <v>184.41</v>
      </c>
      <c r="Q173" t="s">
        <v>25</v>
      </c>
      <c r="R173">
        <v>0.78</v>
      </c>
      <c r="S173">
        <v>184.41</v>
      </c>
      <c r="T173" s="1" t="s">
        <v>34</v>
      </c>
      <c r="U173" s="1" t="s">
        <v>41</v>
      </c>
    </row>
    <row r="174" spans="1:21" ht="28.8" x14ac:dyDescent="0.3">
      <c r="A174">
        <v>2021</v>
      </c>
      <c r="B174">
        <v>4</v>
      </c>
      <c r="C174">
        <v>32467</v>
      </c>
      <c r="D174">
        <v>33342</v>
      </c>
      <c r="E174" t="s">
        <v>22</v>
      </c>
      <c r="F174" t="s">
        <v>21</v>
      </c>
      <c r="G174">
        <v>13303</v>
      </c>
      <c r="H174">
        <v>11259</v>
      </c>
      <c r="I174" t="s">
        <v>26</v>
      </c>
      <c r="J174" t="s">
        <v>23</v>
      </c>
      <c r="K174">
        <v>1121</v>
      </c>
      <c r="L174">
        <v>78</v>
      </c>
      <c r="M174">
        <v>209.65</v>
      </c>
      <c r="N174" t="s">
        <v>31</v>
      </c>
      <c r="O174">
        <v>0.7</v>
      </c>
      <c r="P174">
        <v>205.65</v>
      </c>
      <c r="Q174" t="s">
        <v>31</v>
      </c>
      <c r="R174">
        <v>0.7</v>
      </c>
      <c r="S174">
        <v>205.65</v>
      </c>
      <c r="T174" s="1" t="s">
        <v>34</v>
      </c>
      <c r="U174" s="1" t="s">
        <v>41</v>
      </c>
    </row>
    <row r="175" spans="1:21" ht="28.8" x14ac:dyDescent="0.3">
      <c r="A175">
        <v>2021</v>
      </c>
      <c r="B175">
        <v>2</v>
      </c>
      <c r="C175">
        <v>32467</v>
      </c>
      <c r="D175">
        <v>33342</v>
      </c>
      <c r="E175" t="s">
        <v>22</v>
      </c>
      <c r="F175" t="s">
        <v>21</v>
      </c>
      <c r="G175">
        <v>11697</v>
      </c>
      <c r="H175">
        <v>11259</v>
      </c>
      <c r="I175" t="s">
        <v>24</v>
      </c>
      <c r="J175" t="s">
        <v>23</v>
      </c>
      <c r="K175">
        <v>1121</v>
      </c>
      <c r="L175">
        <v>329</v>
      </c>
      <c r="M175">
        <v>180.86</v>
      </c>
      <c r="N175" t="s">
        <v>25</v>
      </c>
      <c r="O175">
        <v>0.7</v>
      </c>
      <c r="P175">
        <v>176.97</v>
      </c>
      <c r="Q175" t="s">
        <v>25</v>
      </c>
      <c r="R175">
        <v>0.7</v>
      </c>
      <c r="S175">
        <v>176.97</v>
      </c>
      <c r="T175" s="1" t="s">
        <v>34</v>
      </c>
      <c r="U175" s="1" t="s">
        <v>41</v>
      </c>
    </row>
    <row r="176" spans="1:21" ht="28.8" x14ac:dyDescent="0.3">
      <c r="A176">
        <v>2021</v>
      </c>
      <c r="B176">
        <v>3</v>
      </c>
      <c r="C176">
        <v>32467</v>
      </c>
      <c r="D176">
        <v>33342</v>
      </c>
      <c r="E176" t="s">
        <v>22</v>
      </c>
      <c r="F176" t="s">
        <v>21</v>
      </c>
      <c r="G176">
        <v>11697</v>
      </c>
      <c r="H176">
        <v>11259</v>
      </c>
      <c r="I176" t="s">
        <v>24</v>
      </c>
      <c r="J176" t="s">
        <v>23</v>
      </c>
      <c r="K176">
        <v>1121</v>
      </c>
      <c r="L176">
        <v>213</v>
      </c>
      <c r="M176">
        <v>176.65</v>
      </c>
      <c r="N176" t="s">
        <v>25</v>
      </c>
      <c r="O176">
        <v>0.6</v>
      </c>
      <c r="P176">
        <v>166.06</v>
      </c>
      <c r="Q176" t="s">
        <v>25</v>
      </c>
      <c r="R176">
        <v>0.6</v>
      </c>
      <c r="S176">
        <v>166.06</v>
      </c>
      <c r="T176" s="1" t="s">
        <v>34</v>
      </c>
      <c r="U176" s="1" t="s">
        <v>41</v>
      </c>
    </row>
    <row r="177" spans="1:21" ht="28.8" x14ac:dyDescent="0.3">
      <c r="A177">
        <v>2021</v>
      </c>
      <c r="B177">
        <v>1</v>
      </c>
      <c r="C177">
        <v>32467</v>
      </c>
      <c r="D177">
        <v>33342</v>
      </c>
      <c r="E177" t="s">
        <v>22</v>
      </c>
      <c r="F177" t="s">
        <v>21</v>
      </c>
      <c r="G177">
        <v>13303</v>
      </c>
      <c r="H177">
        <v>11259</v>
      </c>
      <c r="I177" t="s">
        <v>26</v>
      </c>
      <c r="J177" t="s">
        <v>23</v>
      </c>
      <c r="K177">
        <v>1121</v>
      </c>
      <c r="L177">
        <v>73</v>
      </c>
      <c r="M177">
        <v>254.97</v>
      </c>
      <c r="N177" t="s">
        <v>31</v>
      </c>
      <c r="O177">
        <v>0.65</v>
      </c>
      <c r="P177">
        <v>250.9</v>
      </c>
      <c r="Q177" t="s">
        <v>31</v>
      </c>
      <c r="R177">
        <v>0.65</v>
      </c>
      <c r="S177">
        <v>250.9</v>
      </c>
      <c r="T177" s="1" t="s">
        <v>34</v>
      </c>
      <c r="U177" s="1" t="s">
        <v>41</v>
      </c>
    </row>
    <row r="178" spans="1:21" ht="28.8" x14ac:dyDescent="0.3">
      <c r="A178">
        <v>2021</v>
      </c>
      <c r="B178">
        <v>3</v>
      </c>
      <c r="C178">
        <v>32467</v>
      </c>
      <c r="D178">
        <v>33342</v>
      </c>
      <c r="E178" t="s">
        <v>22</v>
      </c>
      <c r="F178" t="s">
        <v>21</v>
      </c>
      <c r="G178">
        <v>13303</v>
      </c>
      <c r="H178">
        <v>11259</v>
      </c>
      <c r="I178" t="s">
        <v>26</v>
      </c>
      <c r="J178" t="s">
        <v>23</v>
      </c>
      <c r="K178">
        <v>1121</v>
      </c>
      <c r="L178">
        <v>67</v>
      </c>
      <c r="M178">
        <v>213.13</v>
      </c>
      <c r="N178" t="s">
        <v>31</v>
      </c>
      <c r="O178">
        <v>0.67</v>
      </c>
      <c r="P178">
        <v>194.81</v>
      </c>
      <c r="Q178" t="s">
        <v>31</v>
      </c>
      <c r="R178">
        <v>0.67</v>
      </c>
      <c r="S178">
        <v>194.81</v>
      </c>
      <c r="T178" s="1" t="s">
        <v>34</v>
      </c>
      <c r="U178" s="1" t="s">
        <v>41</v>
      </c>
    </row>
    <row r="179" spans="1:21" ht="28.8" x14ac:dyDescent="0.3">
      <c r="A179">
        <v>2021</v>
      </c>
      <c r="B179">
        <v>1</v>
      </c>
      <c r="C179">
        <v>32467</v>
      </c>
      <c r="D179">
        <v>33342</v>
      </c>
      <c r="E179" t="s">
        <v>22</v>
      </c>
      <c r="F179" t="s">
        <v>21</v>
      </c>
      <c r="G179">
        <v>11697</v>
      </c>
      <c r="H179">
        <v>11259</v>
      </c>
      <c r="I179" t="s">
        <v>24</v>
      </c>
      <c r="J179" t="s">
        <v>23</v>
      </c>
      <c r="K179">
        <v>1121</v>
      </c>
      <c r="L179">
        <v>517</v>
      </c>
      <c r="M179">
        <v>194.54</v>
      </c>
      <c r="N179" t="s">
        <v>25</v>
      </c>
      <c r="O179">
        <v>0.75939999999999996</v>
      </c>
      <c r="P179">
        <v>192.45</v>
      </c>
      <c r="Q179" t="s">
        <v>25</v>
      </c>
      <c r="R179">
        <v>0.75939999999999996</v>
      </c>
      <c r="S179">
        <v>192.45</v>
      </c>
      <c r="T179" s="1" t="s">
        <v>34</v>
      </c>
      <c r="U179" s="1" t="s">
        <v>41</v>
      </c>
    </row>
    <row r="180" spans="1:21" ht="28.8" x14ac:dyDescent="0.3">
      <c r="A180">
        <v>2021</v>
      </c>
      <c r="B180">
        <v>1</v>
      </c>
      <c r="C180">
        <v>32467</v>
      </c>
      <c r="D180">
        <v>33342</v>
      </c>
      <c r="E180" t="s">
        <v>22</v>
      </c>
      <c r="F180" t="s">
        <v>21</v>
      </c>
      <c r="G180">
        <v>13303</v>
      </c>
      <c r="H180">
        <v>11259</v>
      </c>
      <c r="I180" t="s">
        <v>26</v>
      </c>
      <c r="J180" t="s">
        <v>23</v>
      </c>
      <c r="K180">
        <v>1121</v>
      </c>
      <c r="L180">
        <v>91</v>
      </c>
      <c r="M180">
        <v>228.11</v>
      </c>
      <c r="N180" t="s">
        <v>31</v>
      </c>
      <c r="O180">
        <v>0.61650000000000005</v>
      </c>
      <c r="P180">
        <v>219</v>
      </c>
      <c r="Q180" t="s">
        <v>37</v>
      </c>
      <c r="R180">
        <v>0.108</v>
      </c>
      <c r="S180">
        <v>204.94</v>
      </c>
      <c r="T180" s="1" t="s">
        <v>34</v>
      </c>
      <c r="U180" s="1" t="s">
        <v>41</v>
      </c>
    </row>
    <row r="181" spans="1:21" ht="28.8" x14ac:dyDescent="0.3">
      <c r="A181">
        <v>2021</v>
      </c>
      <c r="B181">
        <v>2</v>
      </c>
      <c r="C181">
        <v>32467</v>
      </c>
      <c r="D181">
        <v>33342</v>
      </c>
      <c r="E181" t="s">
        <v>22</v>
      </c>
      <c r="F181" t="s">
        <v>21</v>
      </c>
      <c r="G181">
        <v>11697</v>
      </c>
      <c r="H181">
        <v>11259</v>
      </c>
      <c r="I181" t="s">
        <v>24</v>
      </c>
      <c r="J181" t="s">
        <v>23</v>
      </c>
      <c r="K181">
        <v>1121</v>
      </c>
      <c r="L181">
        <v>300</v>
      </c>
      <c r="M181">
        <v>179.56</v>
      </c>
      <c r="N181" t="s">
        <v>25</v>
      </c>
      <c r="O181">
        <v>0.72289999999999999</v>
      </c>
      <c r="P181">
        <v>173.79</v>
      </c>
      <c r="Q181" t="s">
        <v>25</v>
      </c>
      <c r="R181">
        <v>0.72289999999999999</v>
      </c>
      <c r="S181">
        <v>173.79</v>
      </c>
      <c r="T181" s="1" t="s">
        <v>34</v>
      </c>
      <c r="U181" s="1" t="s">
        <v>41</v>
      </c>
    </row>
    <row r="182" spans="1:21" ht="28.8" x14ac:dyDescent="0.3">
      <c r="A182">
        <v>2021</v>
      </c>
      <c r="B182">
        <v>2</v>
      </c>
      <c r="C182">
        <v>32467</v>
      </c>
      <c r="D182">
        <v>33342</v>
      </c>
      <c r="E182" t="s">
        <v>22</v>
      </c>
      <c r="F182" t="s">
        <v>21</v>
      </c>
      <c r="G182">
        <v>13303</v>
      </c>
      <c r="H182">
        <v>11259</v>
      </c>
      <c r="I182" t="s">
        <v>26</v>
      </c>
      <c r="J182" t="s">
        <v>23</v>
      </c>
      <c r="K182">
        <v>1121</v>
      </c>
      <c r="L182">
        <v>51</v>
      </c>
      <c r="M182">
        <v>254.4</v>
      </c>
      <c r="N182" t="s">
        <v>31</v>
      </c>
      <c r="O182">
        <v>0.50209999999999999</v>
      </c>
      <c r="P182">
        <v>242.41</v>
      </c>
      <c r="Q182" t="s">
        <v>31</v>
      </c>
      <c r="R182">
        <v>0.50209999999999999</v>
      </c>
      <c r="S182">
        <v>242.41</v>
      </c>
      <c r="T182" s="1" t="s">
        <v>34</v>
      </c>
      <c r="U182" s="1" t="s">
        <v>41</v>
      </c>
    </row>
    <row r="183" spans="1:21" ht="28.8" x14ac:dyDescent="0.3">
      <c r="A183">
        <v>2021</v>
      </c>
      <c r="B183">
        <v>3</v>
      </c>
      <c r="C183">
        <v>32467</v>
      </c>
      <c r="D183">
        <v>33342</v>
      </c>
      <c r="E183" t="s">
        <v>22</v>
      </c>
      <c r="F183" t="s">
        <v>21</v>
      </c>
      <c r="G183">
        <v>11697</v>
      </c>
      <c r="H183">
        <v>11259</v>
      </c>
      <c r="I183" t="s">
        <v>24</v>
      </c>
      <c r="J183" t="s">
        <v>23</v>
      </c>
      <c r="K183">
        <v>1121</v>
      </c>
      <c r="L183">
        <v>185</v>
      </c>
      <c r="M183">
        <v>188.92</v>
      </c>
      <c r="N183" t="s">
        <v>25</v>
      </c>
      <c r="O183">
        <v>0.59450000000000003</v>
      </c>
      <c r="P183">
        <v>177.82</v>
      </c>
      <c r="Q183" t="s">
        <v>25</v>
      </c>
      <c r="R183">
        <v>0.59450000000000003</v>
      </c>
      <c r="S183">
        <v>177.82</v>
      </c>
      <c r="T183" s="1" t="s">
        <v>34</v>
      </c>
      <c r="U183" s="1" t="s">
        <v>41</v>
      </c>
    </row>
    <row r="184" spans="1:21" ht="28.8" x14ac:dyDescent="0.3">
      <c r="A184">
        <v>2021</v>
      </c>
      <c r="B184">
        <v>3</v>
      </c>
      <c r="C184">
        <v>32467</v>
      </c>
      <c r="D184">
        <v>33342</v>
      </c>
      <c r="E184" t="s">
        <v>22</v>
      </c>
      <c r="F184" t="s">
        <v>21</v>
      </c>
      <c r="G184">
        <v>13303</v>
      </c>
      <c r="H184">
        <v>11259</v>
      </c>
      <c r="I184" t="s">
        <v>26</v>
      </c>
      <c r="J184" t="s">
        <v>23</v>
      </c>
      <c r="K184">
        <v>1121</v>
      </c>
      <c r="L184">
        <v>47</v>
      </c>
      <c r="M184">
        <v>230.11</v>
      </c>
      <c r="N184" t="s">
        <v>31</v>
      </c>
      <c r="O184">
        <v>0.54169999999999996</v>
      </c>
      <c r="P184">
        <v>214.24</v>
      </c>
      <c r="Q184" t="s">
        <v>31</v>
      </c>
      <c r="R184">
        <v>0.54169999999999996</v>
      </c>
      <c r="S184">
        <v>214.24</v>
      </c>
      <c r="T184" s="1" t="s">
        <v>34</v>
      </c>
      <c r="U184" s="1" t="s">
        <v>41</v>
      </c>
    </row>
    <row r="185" spans="1:21" ht="28.8" x14ac:dyDescent="0.3">
      <c r="A185">
        <v>2021</v>
      </c>
      <c r="B185">
        <v>4</v>
      </c>
      <c r="C185">
        <v>32467</v>
      </c>
      <c r="D185">
        <v>33342</v>
      </c>
      <c r="E185" t="s">
        <v>22</v>
      </c>
      <c r="F185" t="s">
        <v>21</v>
      </c>
      <c r="G185">
        <v>11697</v>
      </c>
      <c r="H185">
        <v>11259</v>
      </c>
      <c r="I185" t="s">
        <v>24</v>
      </c>
      <c r="J185" t="s">
        <v>23</v>
      </c>
      <c r="K185">
        <v>1121</v>
      </c>
      <c r="L185">
        <v>273</v>
      </c>
      <c r="M185">
        <v>199.58</v>
      </c>
      <c r="N185" t="s">
        <v>25</v>
      </c>
      <c r="O185">
        <v>0.75239999999999996</v>
      </c>
      <c r="P185">
        <v>190.84</v>
      </c>
      <c r="Q185" t="s">
        <v>25</v>
      </c>
      <c r="R185">
        <v>0.75239999999999996</v>
      </c>
      <c r="S185">
        <v>190.84</v>
      </c>
      <c r="T185" s="1" t="s">
        <v>34</v>
      </c>
      <c r="U185" s="1" t="s">
        <v>41</v>
      </c>
    </row>
    <row r="186" spans="1:21" ht="28.8" x14ac:dyDescent="0.3">
      <c r="A186">
        <v>2021</v>
      </c>
      <c r="B186">
        <v>4</v>
      </c>
      <c r="C186">
        <v>32467</v>
      </c>
      <c r="D186">
        <v>33342</v>
      </c>
      <c r="E186" t="s">
        <v>22</v>
      </c>
      <c r="F186" t="s">
        <v>21</v>
      </c>
      <c r="G186">
        <v>13303</v>
      </c>
      <c r="H186">
        <v>11259</v>
      </c>
      <c r="I186" t="s">
        <v>26</v>
      </c>
      <c r="J186" t="s">
        <v>23</v>
      </c>
      <c r="K186">
        <v>1121</v>
      </c>
      <c r="L186">
        <v>61</v>
      </c>
      <c r="M186">
        <v>229.04</v>
      </c>
      <c r="N186" t="s">
        <v>31</v>
      </c>
      <c r="O186">
        <v>0.65769999999999995</v>
      </c>
      <c r="P186">
        <v>207.76</v>
      </c>
      <c r="Q186" t="s">
        <v>31</v>
      </c>
      <c r="R186">
        <v>0.65769999999999995</v>
      </c>
      <c r="S186">
        <v>207.76</v>
      </c>
      <c r="T186" s="1" t="s">
        <v>34</v>
      </c>
      <c r="U186" s="1" t="s">
        <v>41</v>
      </c>
    </row>
    <row r="187" spans="1:21" x14ac:dyDescent="0.3">
      <c r="A187">
        <v>2021</v>
      </c>
      <c r="B187">
        <v>3</v>
      </c>
      <c r="C187">
        <v>32467</v>
      </c>
      <c r="D187">
        <v>33342</v>
      </c>
      <c r="E187" t="s">
        <v>22</v>
      </c>
      <c r="F187" t="s">
        <v>21</v>
      </c>
      <c r="G187">
        <v>11697</v>
      </c>
      <c r="H187">
        <v>11259</v>
      </c>
      <c r="I187" t="s">
        <v>24</v>
      </c>
      <c r="J187" t="s">
        <v>23</v>
      </c>
      <c r="K187">
        <v>1121</v>
      </c>
      <c r="L187">
        <v>155</v>
      </c>
      <c r="M187">
        <v>189.39</v>
      </c>
      <c r="N187" t="s">
        <v>25</v>
      </c>
      <c r="O187">
        <v>0.56320000000000003</v>
      </c>
      <c r="P187">
        <v>173.73</v>
      </c>
      <c r="Q187" t="s">
        <v>25</v>
      </c>
      <c r="R187">
        <v>0.56320000000000003</v>
      </c>
      <c r="S187">
        <v>173.73</v>
      </c>
    </row>
    <row r="188" spans="1:21" x14ac:dyDescent="0.3">
      <c r="A188">
        <v>2021</v>
      </c>
      <c r="B188">
        <v>3</v>
      </c>
      <c r="C188">
        <v>32467</v>
      </c>
      <c r="D188">
        <v>33342</v>
      </c>
      <c r="E188" t="s">
        <v>22</v>
      </c>
      <c r="F188" t="s">
        <v>21</v>
      </c>
      <c r="G188">
        <v>13303</v>
      </c>
      <c r="H188">
        <v>11259</v>
      </c>
      <c r="I188" t="s">
        <v>26</v>
      </c>
      <c r="J188" t="s">
        <v>23</v>
      </c>
      <c r="K188">
        <v>1121</v>
      </c>
      <c r="L188">
        <v>70</v>
      </c>
      <c r="M188">
        <v>212.54</v>
      </c>
      <c r="N188" t="s">
        <v>31</v>
      </c>
      <c r="O188">
        <v>0.54520000000000002</v>
      </c>
      <c r="P188">
        <v>201.41</v>
      </c>
      <c r="Q188" t="s">
        <v>31</v>
      </c>
      <c r="R188">
        <v>0.54520000000000002</v>
      </c>
      <c r="S188">
        <v>201.41</v>
      </c>
    </row>
    <row r="189" spans="1:21" ht="28.8" x14ac:dyDescent="0.3">
      <c r="A189">
        <v>2021</v>
      </c>
      <c r="B189">
        <v>1</v>
      </c>
      <c r="C189">
        <v>32467</v>
      </c>
      <c r="D189">
        <v>33342</v>
      </c>
      <c r="E189" t="s">
        <v>22</v>
      </c>
      <c r="F189" t="s">
        <v>21</v>
      </c>
      <c r="G189">
        <v>11697</v>
      </c>
      <c r="H189">
        <v>11259</v>
      </c>
      <c r="I189" t="s">
        <v>24</v>
      </c>
      <c r="J189" t="s">
        <v>23</v>
      </c>
      <c r="K189">
        <v>1121</v>
      </c>
      <c r="L189">
        <v>457</v>
      </c>
      <c r="M189">
        <v>186.19</v>
      </c>
      <c r="N189" t="s">
        <v>25</v>
      </c>
      <c r="O189">
        <v>0.82169999999999999</v>
      </c>
      <c r="P189">
        <v>180.84</v>
      </c>
      <c r="Q189" t="s">
        <v>25</v>
      </c>
      <c r="R189">
        <v>0.82169999999999999</v>
      </c>
      <c r="S189">
        <v>180.84</v>
      </c>
      <c r="T189" s="1" t="s">
        <v>34</v>
      </c>
      <c r="U189" s="1" t="s">
        <v>41</v>
      </c>
    </row>
    <row r="190" spans="1:21" ht="28.8" x14ac:dyDescent="0.3">
      <c r="A190">
        <v>2021</v>
      </c>
      <c r="B190">
        <v>1</v>
      </c>
      <c r="C190">
        <v>32467</v>
      </c>
      <c r="D190">
        <v>33342</v>
      </c>
      <c r="E190" t="s">
        <v>22</v>
      </c>
      <c r="F190" t="s">
        <v>21</v>
      </c>
      <c r="G190">
        <v>13303</v>
      </c>
      <c r="H190">
        <v>11259</v>
      </c>
      <c r="I190" t="s">
        <v>26</v>
      </c>
      <c r="J190" t="s">
        <v>23</v>
      </c>
      <c r="K190">
        <v>1121</v>
      </c>
      <c r="L190">
        <v>83</v>
      </c>
      <c r="M190">
        <v>218.95</v>
      </c>
      <c r="N190" t="s">
        <v>31</v>
      </c>
      <c r="O190">
        <v>0.57740000000000002</v>
      </c>
      <c r="P190">
        <v>214.66</v>
      </c>
      <c r="Q190" t="s">
        <v>37</v>
      </c>
      <c r="R190">
        <v>0.1615</v>
      </c>
      <c r="S190">
        <v>206.55</v>
      </c>
      <c r="T190" s="1" t="s">
        <v>34</v>
      </c>
      <c r="U190" s="1" t="s">
        <v>41</v>
      </c>
    </row>
    <row r="191" spans="1:21" ht="28.8" x14ac:dyDescent="0.3">
      <c r="A191">
        <v>2021</v>
      </c>
      <c r="B191">
        <v>2</v>
      </c>
      <c r="C191">
        <v>32467</v>
      </c>
      <c r="D191">
        <v>33342</v>
      </c>
      <c r="E191" t="s">
        <v>22</v>
      </c>
      <c r="F191" t="s">
        <v>21</v>
      </c>
      <c r="G191">
        <v>11697</v>
      </c>
      <c r="H191">
        <v>11259</v>
      </c>
      <c r="I191" t="s">
        <v>24</v>
      </c>
      <c r="J191" t="s">
        <v>23</v>
      </c>
      <c r="K191">
        <v>1121</v>
      </c>
      <c r="L191">
        <v>272</v>
      </c>
      <c r="M191">
        <v>184.59</v>
      </c>
      <c r="N191" t="s">
        <v>25</v>
      </c>
      <c r="O191">
        <v>0.70530000000000004</v>
      </c>
      <c r="P191">
        <v>178.55</v>
      </c>
      <c r="Q191" t="s">
        <v>25</v>
      </c>
      <c r="R191">
        <v>0.70530000000000004</v>
      </c>
      <c r="S191">
        <v>178.55</v>
      </c>
      <c r="T191" s="1" t="s">
        <v>34</v>
      </c>
      <c r="U191" s="1" t="s">
        <v>41</v>
      </c>
    </row>
    <row r="192" spans="1:21" ht="28.8" x14ac:dyDescent="0.3">
      <c r="A192">
        <v>2021</v>
      </c>
      <c r="B192">
        <v>2</v>
      </c>
      <c r="C192">
        <v>32467</v>
      </c>
      <c r="D192">
        <v>33342</v>
      </c>
      <c r="E192" t="s">
        <v>22</v>
      </c>
      <c r="F192" t="s">
        <v>21</v>
      </c>
      <c r="G192">
        <v>13303</v>
      </c>
      <c r="H192">
        <v>11259</v>
      </c>
      <c r="I192" t="s">
        <v>26</v>
      </c>
      <c r="J192" t="s">
        <v>23</v>
      </c>
      <c r="K192">
        <v>1121</v>
      </c>
      <c r="L192">
        <v>80</v>
      </c>
      <c r="M192">
        <v>209.7</v>
      </c>
      <c r="N192" t="s">
        <v>31</v>
      </c>
      <c r="O192">
        <v>0.52459999999999996</v>
      </c>
      <c r="P192">
        <v>211.09</v>
      </c>
      <c r="Q192" t="s">
        <v>37</v>
      </c>
      <c r="R192">
        <v>0.1885</v>
      </c>
      <c r="S192">
        <v>176.3</v>
      </c>
      <c r="T192" s="1" t="s">
        <v>34</v>
      </c>
      <c r="U192" s="1" t="s">
        <v>41</v>
      </c>
    </row>
    <row r="193" spans="1:21" ht="28.8" x14ac:dyDescent="0.3">
      <c r="A193">
        <v>2021</v>
      </c>
      <c r="B193">
        <v>3</v>
      </c>
      <c r="C193">
        <v>32467</v>
      </c>
      <c r="D193">
        <v>33342</v>
      </c>
      <c r="E193" t="s">
        <v>22</v>
      </c>
      <c r="F193" t="s">
        <v>21</v>
      </c>
      <c r="G193">
        <v>11697</v>
      </c>
      <c r="H193">
        <v>11259</v>
      </c>
      <c r="I193" t="s">
        <v>24</v>
      </c>
      <c r="J193" t="s">
        <v>23</v>
      </c>
      <c r="K193">
        <v>1121</v>
      </c>
      <c r="L193">
        <v>148</v>
      </c>
      <c r="M193">
        <v>172.77</v>
      </c>
      <c r="N193" t="s">
        <v>25</v>
      </c>
      <c r="O193">
        <v>0.52459999999999996</v>
      </c>
      <c r="P193">
        <v>162.13</v>
      </c>
      <c r="Q193" t="s">
        <v>25</v>
      </c>
      <c r="R193">
        <v>0.52459999999999996</v>
      </c>
      <c r="S193">
        <v>162.13</v>
      </c>
      <c r="T193" s="1" t="s">
        <v>34</v>
      </c>
      <c r="U193" s="1" t="s">
        <v>41</v>
      </c>
    </row>
    <row r="194" spans="1:21" ht="28.8" x14ac:dyDescent="0.3">
      <c r="A194">
        <v>2021</v>
      </c>
      <c r="B194">
        <v>3</v>
      </c>
      <c r="C194">
        <v>32467</v>
      </c>
      <c r="D194">
        <v>33342</v>
      </c>
      <c r="E194" t="s">
        <v>22</v>
      </c>
      <c r="F194" t="s">
        <v>21</v>
      </c>
      <c r="G194">
        <v>13303</v>
      </c>
      <c r="H194">
        <v>11259</v>
      </c>
      <c r="I194" t="s">
        <v>26</v>
      </c>
      <c r="J194" t="s">
        <v>23</v>
      </c>
      <c r="K194">
        <v>1121</v>
      </c>
      <c r="L194">
        <v>63</v>
      </c>
      <c r="M194">
        <v>193.31</v>
      </c>
      <c r="N194" t="s">
        <v>31</v>
      </c>
      <c r="O194">
        <v>0.49659999999999999</v>
      </c>
      <c r="P194">
        <v>187.85</v>
      </c>
      <c r="Q194" t="s">
        <v>37</v>
      </c>
      <c r="R194">
        <v>0.1031</v>
      </c>
      <c r="S194">
        <v>173.37</v>
      </c>
      <c r="T194" s="1" t="s">
        <v>34</v>
      </c>
      <c r="U194" s="1" t="s">
        <v>41</v>
      </c>
    </row>
    <row r="195" spans="1:21" ht="28.8" x14ac:dyDescent="0.3">
      <c r="A195">
        <v>2021</v>
      </c>
      <c r="B195">
        <v>4</v>
      </c>
      <c r="C195">
        <v>32467</v>
      </c>
      <c r="D195">
        <v>33342</v>
      </c>
      <c r="E195" t="s">
        <v>22</v>
      </c>
      <c r="F195" t="s">
        <v>21</v>
      </c>
      <c r="G195">
        <v>11697</v>
      </c>
      <c r="H195">
        <v>11259</v>
      </c>
      <c r="I195" t="s">
        <v>24</v>
      </c>
      <c r="J195" t="s">
        <v>23</v>
      </c>
      <c r="K195">
        <v>1121</v>
      </c>
      <c r="L195">
        <v>241</v>
      </c>
      <c r="M195">
        <v>197.78</v>
      </c>
      <c r="N195" t="s">
        <v>25</v>
      </c>
      <c r="O195">
        <v>0.70509999999999995</v>
      </c>
      <c r="P195">
        <v>193.75</v>
      </c>
      <c r="Q195" t="s">
        <v>25</v>
      </c>
      <c r="R195">
        <v>0.70509999999999995</v>
      </c>
      <c r="S195">
        <v>193.75</v>
      </c>
      <c r="T195" s="1" t="s">
        <v>34</v>
      </c>
      <c r="U195" s="1" t="s">
        <v>41</v>
      </c>
    </row>
    <row r="196" spans="1:21" ht="28.8" x14ac:dyDescent="0.3">
      <c r="A196">
        <v>2021</v>
      </c>
      <c r="B196">
        <v>4</v>
      </c>
      <c r="C196">
        <v>32467</v>
      </c>
      <c r="D196">
        <v>33342</v>
      </c>
      <c r="E196" t="s">
        <v>22</v>
      </c>
      <c r="F196" t="s">
        <v>21</v>
      </c>
      <c r="G196">
        <v>13303</v>
      </c>
      <c r="H196">
        <v>11259</v>
      </c>
      <c r="I196" t="s">
        <v>26</v>
      </c>
      <c r="J196" t="s">
        <v>23</v>
      </c>
      <c r="K196">
        <v>1121</v>
      </c>
      <c r="L196">
        <v>133</v>
      </c>
      <c r="M196">
        <v>153.63999999999999</v>
      </c>
      <c r="N196" t="s">
        <v>30</v>
      </c>
      <c r="O196">
        <v>0.58199999999999996</v>
      </c>
      <c r="P196">
        <v>96.25</v>
      </c>
      <c r="Q196" t="s">
        <v>30</v>
      </c>
      <c r="R196">
        <v>0.58199999999999996</v>
      </c>
      <c r="S196">
        <v>96.25</v>
      </c>
      <c r="T196" s="1" t="s">
        <v>34</v>
      </c>
      <c r="U196" s="1" t="s">
        <v>41</v>
      </c>
    </row>
    <row r="197" spans="1:21" ht="28.8" x14ac:dyDescent="0.3">
      <c r="A197">
        <v>2021</v>
      </c>
      <c r="B197">
        <v>1</v>
      </c>
      <c r="C197">
        <v>32467</v>
      </c>
      <c r="D197">
        <v>33342</v>
      </c>
      <c r="E197" t="s">
        <v>22</v>
      </c>
      <c r="F197" t="s">
        <v>21</v>
      </c>
      <c r="G197">
        <v>11697</v>
      </c>
      <c r="H197">
        <v>11259</v>
      </c>
      <c r="I197" t="s">
        <v>24</v>
      </c>
      <c r="J197" t="s">
        <v>23</v>
      </c>
      <c r="K197">
        <v>1121</v>
      </c>
      <c r="L197">
        <v>441</v>
      </c>
      <c r="M197">
        <v>185.91</v>
      </c>
      <c r="N197" t="s">
        <v>25</v>
      </c>
      <c r="O197">
        <v>0.77739999999999998</v>
      </c>
      <c r="P197">
        <v>186.01</v>
      </c>
      <c r="Q197" t="s">
        <v>25</v>
      </c>
      <c r="R197">
        <v>0.77739999999999998</v>
      </c>
      <c r="S197">
        <v>186.01</v>
      </c>
      <c r="T197" s="1" t="s">
        <v>34</v>
      </c>
      <c r="U197" s="1" t="s">
        <v>41</v>
      </c>
    </row>
    <row r="198" spans="1:21" ht="28.8" x14ac:dyDescent="0.3">
      <c r="A198">
        <v>2021</v>
      </c>
      <c r="B198">
        <v>1</v>
      </c>
      <c r="C198">
        <v>32467</v>
      </c>
      <c r="D198">
        <v>33342</v>
      </c>
      <c r="E198" t="s">
        <v>22</v>
      </c>
      <c r="F198" t="s">
        <v>21</v>
      </c>
      <c r="G198">
        <v>13303</v>
      </c>
      <c r="H198">
        <v>11259</v>
      </c>
      <c r="I198" t="s">
        <v>26</v>
      </c>
      <c r="J198" t="s">
        <v>23</v>
      </c>
      <c r="K198">
        <v>1121</v>
      </c>
      <c r="L198">
        <v>218</v>
      </c>
      <c r="M198">
        <v>140.32</v>
      </c>
      <c r="N198" t="s">
        <v>30</v>
      </c>
      <c r="O198">
        <v>0.73480000000000001</v>
      </c>
      <c r="P198">
        <v>102.62</v>
      </c>
      <c r="Q198" t="s">
        <v>30</v>
      </c>
      <c r="R198">
        <v>0.73480000000000001</v>
      </c>
      <c r="S198">
        <v>102.62</v>
      </c>
      <c r="T198" s="1" t="s">
        <v>34</v>
      </c>
      <c r="U198" s="1" t="s">
        <v>41</v>
      </c>
    </row>
    <row r="199" spans="1:21" ht="28.8" x14ac:dyDescent="0.3">
      <c r="A199">
        <v>2021</v>
      </c>
      <c r="B199">
        <v>2</v>
      </c>
      <c r="C199">
        <v>32467</v>
      </c>
      <c r="D199">
        <v>33342</v>
      </c>
      <c r="E199" t="s">
        <v>22</v>
      </c>
      <c r="F199" t="s">
        <v>21</v>
      </c>
      <c r="G199">
        <v>11697</v>
      </c>
      <c r="H199">
        <v>11259</v>
      </c>
      <c r="I199" t="s">
        <v>24</v>
      </c>
      <c r="J199" t="s">
        <v>23</v>
      </c>
      <c r="K199">
        <v>1121</v>
      </c>
      <c r="L199">
        <v>221</v>
      </c>
      <c r="M199">
        <v>187.12</v>
      </c>
      <c r="N199" t="s">
        <v>25</v>
      </c>
      <c r="O199">
        <v>0.59160000000000001</v>
      </c>
      <c r="P199">
        <v>183.47</v>
      </c>
      <c r="Q199" t="s">
        <v>25</v>
      </c>
      <c r="R199">
        <v>0.59160000000000001</v>
      </c>
      <c r="S199">
        <v>183.47</v>
      </c>
      <c r="T199" s="1" t="s">
        <v>34</v>
      </c>
      <c r="U199" s="1" t="s">
        <v>41</v>
      </c>
    </row>
    <row r="200" spans="1:21" ht="28.8" x14ac:dyDescent="0.3">
      <c r="A200">
        <v>2021</v>
      </c>
      <c r="B200">
        <v>2</v>
      </c>
      <c r="C200">
        <v>32467</v>
      </c>
      <c r="D200">
        <v>33342</v>
      </c>
      <c r="E200" t="s">
        <v>22</v>
      </c>
      <c r="F200" t="s">
        <v>21</v>
      </c>
      <c r="G200">
        <v>13303</v>
      </c>
      <c r="H200">
        <v>11259</v>
      </c>
      <c r="I200" t="s">
        <v>26</v>
      </c>
      <c r="J200" t="s">
        <v>23</v>
      </c>
      <c r="K200">
        <v>1121</v>
      </c>
      <c r="L200">
        <v>91</v>
      </c>
      <c r="M200">
        <v>202.83</v>
      </c>
      <c r="N200" t="s">
        <v>31</v>
      </c>
      <c r="O200">
        <v>0.40910000000000002</v>
      </c>
      <c r="P200">
        <v>218.9</v>
      </c>
      <c r="Q200" t="s">
        <v>30</v>
      </c>
      <c r="R200">
        <v>0.19489999999999999</v>
      </c>
      <c r="S200">
        <v>135.59</v>
      </c>
      <c r="T200" s="1" t="s">
        <v>34</v>
      </c>
      <c r="U200" s="1" t="s">
        <v>41</v>
      </c>
    </row>
    <row r="201" spans="1:21" x14ac:dyDescent="0.3">
      <c r="A201">
        <v>2021</v>
      </c>
      <c r="B201">
        <v>4</v>
      </c>
      <c r="C201">
        <v>32467</v>
      </c>
      <c r="D201">
        <v>33342</v>
      </c>
      <c r="E201" t="s">
        <v>22</v>
      </c>
      <c r="F201" t="s">
        <v>21</v>
      </c>
      <c r="G201">
        <v>11697</v>
      </c>
      <c r="H201">
        <v>11259</v>
      </c>
      <c r="I201" t="s">
        <v>24</v>
      </c>
      <c r="J201" t="s">
        <v>23</v>
      </c>
      <c r="K201">
        <v>1121</v>
      </c>
      <c r="L201">
        <v>278</v>
      </c>
      <c r="M201">
        <v>214.37</v>
      </c>
      <c r="N201" t="s">
        <v>25</v>
      </c>
      <c r="O201">
        <v>0.74860000000000004</v>
      </c>
      <c r="P201">
        <v>202.35</v>
      </c>
      <c r="Q201" t="s">
        <v>25</v>
      </c>
      <c r="R201">
        <v>0.74860000000000004</v>
      </c>
      <c r="S201">
        <v>202.35</v>
      </c>
    </row>
    <row r="202" spans="1:21" x14ac:dyDescent="0.3">
      <c r="A202">
        <v>2021</v>
      </c>
      <c r="B202">
        <v>4</v>
      </c>
      <c r="C202">
        <v>32467</v>
      </c>
      <c r="D202">
        <v>33342</v>
      </c>
      <c r="E202" t="s">
        <v>22</v>
      </c>
      <c r="F202" t="s">
        <v>21</v>
      </c>
      <c r="G202">
        <v>13303</v>
      </c>
      <c r="H202">
        <v>11259</v>
      </c>
      <c r="I202" t="s">
        <v>26</v>
      </c>
      <c r="J202" t="s">
        <v>23</v>
      </c>
      <c r="K202">
        <v>1121</v>
      </c>
      <c r="L202">
        <v>72</v>
      </c>
      <c r="M202">
        <v>233.31</v>
      </c>
      <c r="N202" t="s">
        <v>31</v>
      </c>
      <c r="O202">
        <v>0.58799999999999997</v>
      </c>
      <c r="P202">
        <v>230.12</v>
      </c>
      <c r="Q202" t="s">
        <v>31</v>
      </c>
      <c r="R202">
        <v>0.58799999999999997</v>
      </c>
      <c r="S202">
        <v>230.12</v>
      </c>
    </row>
    <row r="203" spans="1:21" x14ac:dyDescent="0.3">
      <c r="A203">
        <v>2021</v>
      </c>
      <c r="B203">
        <v>1</v>
      </c>
      <c r="C203">
        <v>32467</v>
      </c>
      <c r="D203">
        <v>33342</v>
      </c>
      <c r="E203" t="s">
        <v>22</v>
      </c>
      <c r="F203" t="s">
        <v>21</v>
      </c>
      <c r="G203">
        <v>13303</v>
      </c>
      <c r="H203">
        <v>11259</v>
      </c>
      <c r="I203" t="s">
        <v>26</v>
      </c>
      <c r="J203" t="s">
        <v>23</v>
      </c>
      <c r="K203">
        <v>1121</v>
      </c>
      <c r="L203">
        <v>101</v>
      </c>
      <c r="M203">
        <v>255.46</v>
      </c>
      <c r="N203" t="s">
        <v>31</v>
      </c>
      <c r="O203">
        <v>0.57909999999999995</v>
      </c>
      <c r="P203">
        <v>255.87</v>
      </c>
      <c r="Q203" t="s">
        <v>28</v>
      </c>
      <c r="R203">
        <v>0.32640000000000002</v>
      </c>
      <c r="S203">
        <v>250.74</v>
      </c>
    </row>
    <row r="204" spans="1:21" x14ac:dyDescent="0.3">
      <c r="A204">
        <v>2021</v>
      </c>
      <c r="B204">
        <v>2</v>
      </c>
      <c r="C204">
        <v>32467</v>
      </c>
      <c r="D204">
        <v>33342</v>
      </c>
      <c r="E204" t="s">
        <v>22</v>
      </c>
      <c r="F204" t="s">
        <v>21</v>
      </c>
      <c r="G204">
        <v>11697</v>
      </c>
      <c r="H204">
        <v>11259</v>
      </c>
      <c r="I204" t="s">
        <v>24</v>
      </c>
      <c r="J204" t="s">
        <v>23</v>
      </c>
      <c r="K204">
        <v>1121</v>
      </c>
      <c r="L204">
        <v>208</v>
      </c>
      <c r="M204">
        <v>215.47</v>
      </c>
      <c r="N204" t="s">
        <v>25</v>
      </c>
      <c r="O204">
        <v>0.56910000000000005</v>
      </c>
      <c r="P204">
        <v>200.03</v>
      </c>
      <c r="Q204" t="s">
        <v>25</v>
      </c>
      <c r="R204">
        <v>0.56910000000000005</v>
      </c>
      <c r="S204">
        <v>200.03</v>
      </c>
    </row>
    <row r="205" spans="1:21" x14ac:dyDescent="0.3">
      <c r="A205">
        <v>2021</v>
      </c>
      <c r="B205">
        <v>2</v>
      </c>
      <c r="C205">
        <v>32467</v>
      </c>
      <c r="D205">
        <v>33342</v>
      </c>
      <c r="E205" t="s">
        <v>22</v>
      </c>
      <c r="F205" t="s">
        <v>21</v>
      </c>
      <c r="G205">
        <v>13303</v>
      </c>
      <c r="H205">
        <v>11259</v>
      </c>
      <c r="I205" t="s">
        <v>26</v>
      </c>
      <c r="J205" t="s">
        <v>23</v>
      </c>
      <c r="K205">
        <v>1121</v>
      </c>
      <c r="L205">
        <v>97</v>
      </c>
      <c r="M205">
        <v>211.84</v>
      </c>
      <c r="N205" t="s">
        <v>31</v>
      </c>
      <c r="O205">
        <v>0.61240000000000006</v>
      </c>
      <c r="P205">
        <v>208.49</v>
      </c>
      <c r="Q205" t="s">
        <v>31</v>
      </c>
      <c r="R205">
        <v>0.61240000000000006</v>
      </c>
      <c r="S205">
        <v>208.49</v>
      </c>
    </row>
    <row r="206" spans="1:21" x14ac:dyDescent="0.3">
      <c r="A206">
        <v>2021</v>
      </c>
      <c r="B206">
        <v>3</v>
      </c>
      <c r="C206">
        <v>32467</v>
      </c>
      <c r="D206">
        <v>33342</v>
      </c>
      <c r="E206" t="s">
        <v>22</v>
      </c>
      <c r="F206" t="s">
        <v>21</v>
      </c>
      <c r="G206">
        <v>11697</v>
      </c>
      <c r="H206">
        <v>11259</v>
      </c>
      <c r="I206" t="s">
        <v>24</v>
      </c>
      <c r="J206" t="s">
        <v>23</v>
      </c>
      <c r="K206">
        <v>1121</v>
      </c>
      <c r="L206">
        <v>144</v>
      </c>
      <c r="M206">
        <v>213.27</v>
      </c>
      <c r="N206" t="s">
        <v>25</v>
      </c>
      <c r="O206">
        <v>0.46</v>
      </c>
      <c r="P206">
        <v>192.48</v>
      </c>
      <c r="Q206" t="s">
        <v>25</v>
      </c>
      <c r="R206">
        <v>0.46</v>
      </c>
      <c r="S206">
        <v>192.48</v>
      </c>
      <c r="T206" s="1" t="s">
        <v>40</v>
      </c>
      <c r="U206" t="s">
        <v>45</v>
      </c>
    </row>
    <row r="207" spans="1:21" x14ac:dyDescent="0.3">
      <c r="A207">
        <v>2021</v>
      </c>
      <c r="B207">
        <v>3</v>
      </c>
      <c r="C207">
        <v>32467</v>
      </c>
      <c r="D207">
        <v>33342</v>
      </c>
      <c r="E207" t="s">
        <v>22</v>
      </c>
      <c r="F207" t="s">
        <v>21</v>
      </c>
      <c r="G207">
        <v>13303</v>
      </c>
      <c r="H207">
        <v>11259</v>
      </c>
      <c r="I207" t="s">
        <v>26</v>
      </c>
      <c r="J207" t="s">
        <v>23</v>
      </c>
      <c r="K207">
        <v>1121</v>
      </c>
      <c r="L207">
        <v>67</v>
      </c>
      <c r="M207">
        <v>251.78</v>
      </c>
      <c r="N207" t="s">
        <v>31</v>
      </c>
      <c r="O207">
        <v>0.69689999999999996</v>
      </c>
      <c r="P207">
        <v>232.61</v>
      </c>
      <c r="Q207" t="s">
        <v>31</v>
      </c>
      <c r="R207">
        <v>0.69689999999999996</v>
      </c>
      <c r="S207">
        <v>232.61</v>
      </c>
      <c r="T207" s="1" t="s">
        <v>40</v>
      </c>
      <c r="U207" t="s">
        <v>45</v>
      </c>
    </row>
    <row r="208" spans="1:21" x14ac:dyDescent="0.3">
      <c r="A208">
        <v>2021</v>
      </c>
      <c r="B208">
        <v>4</v>
      </c>
      <c r="C208">
        <v>32467</v>
      </c>
      <c r="D208">
        <v>33342</v>
      </c>
      <c r="E208" t="s">
        <v>22</v>
      </c>
      <c r="F208" t="s">
        <v>21</v>
      </c>
      <c r="G208">
        <v>11697</v>
      </c>
      <c r="H208">
        <v>11259</v>
      </c>
      <c r="I208" t="s">
        <v>24</v>
      </c>
      <c r="J208" t="s">
        <v>23</v>
      </c>
      <c r="K208">
        <v>1121</v>
      </c>
      <c r="L208">
        <v>247</v>
      </c>
      <c r="M208">
        <v>219.88</v>
      </c>
      <c r="N208" t="s">
        <v>25</v>
      </c>
      <c r="O208">
        <v>0.72219999999999995</v>
      </c>
      <c r="P208">
        <v>205.13</v>
      </c>
      <c r="Q208" t="s">
        <v>25</v>
      </c>
      <c r="R208">
        <v>0.72219999999999995</v>
      </c>
      <c r="S208">
        <v>205.13</v>
      </c>
    </row>
    <row r="209" spans="1:21" x14ac:dyDescent="0.3">
      <c r="A209">
        <v>2021</v>
      </c>
      <c r="B209">
        <v>4</v>
      </c>
      <c r="C209">
        <v>32467</v>
      </c>
      <c r="D209">
        <v>33342</v>
      </c>
      <c r="E209" t="s">
        <v>22</v>
      </c>
      <c r="F209" t="s">
        <v>21</v>
      </c>
      <c r="G209">
        <v>13303</v>
      </c>
      <c r="H209">
        <v>11259</v>
      </c>
      <c r="I209" t="s">
        <v>26</v>
      </c>
      <c r="J209" t="s">
        <v>23</v>
      </c>
      <c r="K209">
        <v>1121</v>
      </c>
      <c r="L209">
        <v>83</v>
      </c>
      <c r="M209">
        <v>256.37</v>
      </c>
      <c r="N209" t="s">
        <v>31</v>
      </c>
      <c r="O209">
        <v>0.66710000000000003</v>
      </c>
      <c r="P209">
        <v>249.23</v>
      </c>
      <c r="Q209" t="s">
        <v>31</v>
      </c>
      <c r="R209">
        <v>0.66710000000000003</v>
      </c>
      <c r="S209">
        <v>249.23</v>
      </c>
    </row>
    <row r="210" spans="1:21" x14ac:dyDescent="0.3">
      <c r="A210">
        <v>2021</v>
      </c>
      <c r="B210">
        <v>1</v>
      </c>
      <c r="C210">
        <v>32467</v>
      </c>
      <c r="D210">
        <v>33342</v>
      </c>
      <c r="E210" t="s">
        <v>22</v>
      </c>
      <c r="F210" t="s">
        <v>21</v>
      </c>
      <c r="G210">
        <v>11697</v>
      </c>
      <c r="H210">
        <v>11259</v>
      </c>
      <c r="I210" t="s">
        <v>24</v>
      </c>
      <c r="J210" t="s">
        <v>23</v>
      </c>
      <c r="K210">
        <v>1121</v>
      </c>
      <c r="L210">
        <v>317</v>
      </c>
      <c r="M210">
        <v>204.03</v>
      </c>
      <c r="N210" t="s">
        <v>25</v>
      </c>
      <c r="O210">
        <v>0.79259999999999997</v>
      </c>
      <c r="P210">
        <v>194.51</v>
      </c>
      <c r="Q210" t="s">
        <v>25</v>
      </c>
      <c r="R210">
        <v>0.79259999999999997</v>
      </c>
      <c r="S210">
        <v>194.51</v>
      </c>
      <c r="T210" s="1" t="s">
        <v>40</v>
      </c>
      <c r="U210" t="s">
        <v>45</v>
      </c>
    </row>
    <row r="211" spans="1:21" x14ac:dyDescent="0.3">
      <c r="A211">
        <v>2021</v>
      </c>
      <c r="B211">
        <v>1</v>
      </c>
      <c r="C211">
        <v>32467</v>
      </c>
      <c r="D211">
        <v>33342</v>
      </c>
      <c r="E211" t="s">
        <v>22</v>
      </c>
      <c r="F211" t="s">
        <v>21</v>
      </c>
      <c r="G211">
        <v>13303</v>
      </c>
      <c r="H211">
        <v>11259</v>
      </c>
      <c r="I211" t="s">
        <v>26</v>
      </c>
      <c r="J211" t="s">
        <v>23</v>
      </c>
      <c r="K211">
        <v>1121</v>
      </c>
      <c r="L211">
        <v>85</v>
      </c>
      <c r="M211">
        <v>230.12</v>
      </c>
      <c r="N211" t="s">
        <v>31</v>
      </c>
      <c r="O211">
        <v>0.45879999999999999</v>
      </c>
      <c r="P211">
        <v>234.96</v>
      </c>
      <c r="Q211" t="s">
        <v>37</v>
      </c>
      <c r="R211">
        <v>0.1237</v>
      </c>
      <c r="S211">
        <v>222.21</v>
      </c>
      <c r="T211" s="1" t="s">
        <v>40</v>
      </c>
      <c r="U211" t="s">
        <v>45</v>
      </c>
    </row>
    <row r="212" spans="1:21" x14ac:dyDescent="0.3">
      <c r="A212">
        <v>2021</v>
      </c>
      <c r="B212">
        <v>2</v>
      </c>
      <c r="C212">
        <v>32467</v>
      </c>
      <c r="D212">
        <v>33342</v>
      </c>
      <c r="E212" t="s">
        <v>22</v>
      </c>
      <c r="F212" t="s">
        <v>21</v>
      </c>
      <c r="G212">
        <v>11697</v>
      </c>
      <c r="H212">
        <v>11259</v>
      </c>
      <c r="I212" t="s">
        <v>24</v>
      </c>
      <c r="J212" t="s">
        <v>23</v>
      </c>
      <c r="K212">
        <v>1121</v>
      </c>
      <c r="L212">
        <v>28</v>
      </c>
      <c r="M212">
        <v>160.84</v>
      </c>
      <c r="N212" t="s">
        <v>25</v>
      </c>
      <c r="O212">
        <v>0.63670000000000004</v>
      </c>
      <c r="P212">
        <v>133.75</v>
      </c>
      <c r="Q212" t="s">
        <v>25</v>
      </c>
      <c r="R212">
        <v>0.63670000000000004</v>
      </c>
      <c r="S212">
        <v>133.75</v>
      </c>
      <c r="T212" s="1" t="s">
        <v>40</v>
      </c>
      <c r="U212" t="s">
        <v>45</v>
      </c>
    </row>
    <row r="213" spans="1:21" x14ac:dyDescent="0.3">
      <c r="A213">
        <v>2021</v>
      </c>
      <c r="B213">
        <v>2</v>
      </c>
      <c r="C213">
        <v>32467</v>
      </c>
      <c r="D213">
        <v>33342</v>
      </c>
      <c r="E213" t="s">
        <v>22</v>
      </c>
      <c r="F213" t="s">
        <v>21</v>
      </c>
      <c r="G213">
        <v>13303</v>
      </c>
      <c r="H213">
        <v>11259</v>
      </c>
      <c r="I213" t="s">
        <v>26</v>
      </c>
      <c r="J213" t="s">
        <v>23</v>
      </c>
      <c r="K213">
        <v>1121</v>
      </c>
      <c r="L213">
        <v>11</v>
      </c>
      <c r="M213">
        <v>179.36</v>
      </c>
      <c r="N213" t="s">
        <v>28</v>
      </c>
      <c r="O213">
        <v>0.81369999999999998</v>
      </c>
      <c r="P213">
        <v>170.37</v>
      </c>
      <c r="Q213" t="s">
        <v>28</v>
      </c>
      <c r="R213">
        <v>0.81369999999999998</v>
      </c>
      <c r="S213">
        <v>170.37</v>
      </c>
      <c r="T213" s="1" t="s">
        <v>40</v>
      </c>
      <c r="U213" t="s">
        <v>45</v>
      </c>
    </row>
    <row r="214" spans="1:21" x14ac:dyDescent="0.3">
      <c r="A214">
        <v>2021</v>
      </c>
      <c r="B214">
        <v>4</v>
      </c>
      <c r="C214">
        <v>32467</v>
      </c>
      <c r="D214">
        <v>33342</v>
      </c>
      <c r="E214" t="s">
        <v>22</v>
      </c>
      <c r="F214" t="s">
        <v>21</v>
      </c>
      <c r="G214">
        <v>11697</v>
      </c>
      <c r="H214">
        <v>11259</v>
      </c>
      <c r="I214" t="s">
        <v>24</v>
      </c>
      <c r="J214" t="s">
        <v>23</v>
      </c>
      <c r="K214">
        <v>1121</v>
      </c>
      <c r="L214">
        <v>85</v>
      </c>
      <c r="M214">
        <v>154.13</v>
      </c>
      <c r="N214" t="s">
        <v>25</v>
      </c>
      <c r="O214">
        <v>0.56920000000000004</v>
      </c>
      <c r="P214">
        <v>141.65</v>
      </c>
      <c r="Q214" t="s">
        <v>28</v>
      </c>
      <c r="R214">
        <v>0.16669999999999999</v>
      </c>
      <c r="S214">
        <v>134.11000000000001</v>
      </c>
    </row>
    <row r="215" spans="1:21" x14ac:dyDescent="0.3">
      <c r="A215">
        <v>2021</v>
      </c>
      <c r="B215">
        <v>4</v>
      </c>
      <c r="C215">
        <v>32467</v>
      </c>
      <c r="D215">
        <v>33342</v>
      </c>
      <c r="E215" t="s">
        <v>22</v>
      </c>
      <c r="F215" t="s">
        <v>21</v>
      </c>
      <c r="G215">
        <v>13303</v>
      </c>
      <c r="H215">
        <v>11259</v>
      </c>
      <c r="I215" t="s">
        <v>26</v>
      </c>
      <c r="J215" t="s">
        <v>23</v>
      </c>
      <c r="K215">
        <v>1121</v>
      </c>
      <c r="L215">
        <v>42</v>
      </c>
      <c r="M215">
        <v>148.59</v>
      </c>
      <c r="N215" t="s">
        <v>28</v>
      </c>
      <c r="O215">
        <v>0.52449999999999997</v>
      </c>
      <c r="P215">
        <v>145.9</v>
      </c>
      <c r="Q215" t="s">
        <v>25</v>
      </c>
      <c r="R215">
        <v>0.16800000000000001</v>
      </c>
      <c r="S215">
        <v>120.08</v>
      </c>
    </row>
    <row r="216" spans="1:21" x14ac:dyDescent="0.3">
      <c r="A216">
        <v>2021</v>
      </c>
      <c r="B216">
        <v>1</v>
      </c>
      <c r="C216">
        <v>32467</v>
      </c>
      <c r="D216">
        <v>33342</v>
      </c>
      <c r="E216" t="s">
        <v>22</v>
      </c>
      <c r="F216" t="s">
        <v>21</v>
      </c>
      <c r="G216">
        <v>11697</v>
      </c>
      <c r="H216">
        <v>11259</v>
      </c>
      <c r="I216" t="s">
        <v>24</v>
      </c>
      <c r="J216" t="s">
        <v>23</v>
      </c>
      <c r="K216">
        <v>1121</v>
      </c>
      <c r="L216">
        <v>170</v>
      </c>
      <c r="M216">
        <v>157.28</v>
      </c>
      <c r="N216" t="s">
        <v>25</v>
      </c>
      <c r="O216">
        <v>0.70440000000000003</v>
      </c>
      <c r="P216">
        <v>149.63</v>
      </c>
      <c r="Q216" t="s">
        <v>25</v>
      </c>
      <c r="R216">
        <v>0.70440000000000003</v>
      </c>
      <c r="S216">
        <v>149.63</v>
      </c>
    </row>
    <row r="217" spans="1:21" x14ac:dyDescent="0.3">
      <c r="A217">
        <v>2021</v>
      </c>
      <c r="B217">
        <v>1</v>
      </c>
      <c r="C217">
        <v>32467</v>
      </c>
      <c r="D217">
        <v>33342</v>
      </c>
      <c r="E217" t="s">
        <v>22</v>
      </c>
      <c r="F217" t="s">
        <v>21</v>
      </c>
      <c r="G217">
        <v>13303</v>
      </c>
      <c r="H217">
        <v>11259</v>
      </c>
      <c r="I217" t="s">
        <v>26</v>
      </c>
      <c r="J217" t="s">
        <v>23</v>
      </c>
      <c r="K217">
        <v>1121</v>
      </c>
      <c r="L217">
        <v>118</v>
      </c>
      <c r="M217">
        <v>153.62</v>
      </c>
      <c r="N217" t="s">
        <v>28</v>
      </c>
      <c r="O217">
        <v>0.32169999999999999</v>
      </c>
      <c r="P217">
        <v>179.52</v>
      </c>
      <c r="Q217" t="s">
        <v>37</v>
      </c>
      <c r="R217">
        <v>0.13170000000000001</v>
      </c>
      <c r="S217">
        <v>120.06</v>
      </c>
    </row>
    <row r="218" spans="1:21" x14ac:dyDescent="0.3">
      <c r="A218">
        <v>2021</v>
      </c>
      <c r="B218">
        <v>2</v>
      </c>
      <c r="C218">
        <v>32467</v>
      </c>
      <c r="D218">
        <v>33342</v>
      </c>
      <c r="E218" t="s">
        <v>22</v>
      </c>
      <c r="F218" t="s">
        <v>21</v>
      </c>
      <c r="G218">
        <v>11697</v>
      </c>
      <c r="H218">
        <v>11259</v>
      </c>
      <c r="I218" t="s">
        <v>24</v>
      </c>
      <c r="J218" t="s">
        <v>23</v>
      </c>
      <c r="K218">
        <v>1121</v>
      </c>
      <c r="L218">
        <v>221</v>
      </c>
      <c r="M218">
        <v>163.61000000000001</v>
      </c>
      <c r="N218" t="s">
        <v>25</v>
      </c>
      <c r="O218">
        <v>0.77669999999999995</v>
      </c>
      <c r="P218">
        <v>157.9</v>
      </c>
      <c r="Q218" t="s">
        <v>25</v>
      </c>
      <c r="R218">
        <v>0.77669999999999995</v>
      </c>
      <c r="S218">
        <v>157.9</v>
      </c>
    </row>
    <row r="219" spans="1:21" x14ac:dyDescent="0.3">
      <c r="A219">
        <v>2021</v>
      </c>
      <c r="B219">
        <v>2</v>
      </c>
      <c r="C219">
        <v>32467</v>
      </c>
      <c r="D219">
        <v>33342</v>
      </c>
      <c r="E219" t="s">
        <v>22</v>
      </c>
      <c r="F219" t="s">
        <v>21</v>
      </c>
      <c r="G219">
        <v>13303</v>
      </c>
      <c r="H219">
        <v>11259</v>
      </c>
      <c r="I219" t="s">
        <v>26</v>
      </c>
      <c r="J219" t="s">
        <v>23</v>
      </c>
      <c r="K219">
        <v>1121</v>
      </c>
      <c r="L219">
        <v>86</v>
      </c>
      <c r="M219">
        <v>172.72</v>
      </c>
      <c r="N219" t="s">
        <v>31</v>
      </c>
      <c r="O219">
        <v>0.31850000000000001</v>
      </c>
      <c r="P219">
        <v>201.62</v>
      </c>
      <c r="Q219" t="s">
        <v>25</v>
      </c>
      <c r="R219">
        <v>0.30320000000000003</v>
      </c>
      <c r="S219">
        <v>143.13999999999999</v>
      </c>
    </row>
    <row r="220" spans="1:21" x14ac:dyDescent="0.3">
      <c r="A220">
        <v>2021</v>
      </c>
      <c r="B220">
        <v>2</v>
      </c>
      <c r="C220">
        <v>32467</v>
      </c>
      <c r="D220">
        <v>33342</v>
      </c>
      <c r="E220" t="s">
        <v>22</v>
      </c>
      <c r="F220" t="s">
        <v>21</v>
      </c>
      <c r="G220">
        <v>11697</v>
      </c>
      <c r="H220">
        <v>11259</v>
      </c>
      <c r="I220" t="s">
        <v>24</v>
      </c>
      <c r="J220" t="s">
        <v>23</v>
      </c>
      <c r="K220">
        <v>1121</v>
      </c>
      <c r="L220">
        <v>147</v>
      </c>
      <c r="M220">
        <v>240.09</v>
      </c>
      <c r="N220" t="s">
        <v>25</v>
      </c>
      <c r="O220">
        <v>0.41749999999999998</v>
      </c>
      <c r="P220">
        <v>217.83</v>
      </c>
      <c r="Q220" t="s">
        <v>29</v>
      </c>
      <c r="R220">
        <v>0.1147</v>
      </c>
      <c r="S220">
        <v>125.79</v>
      </c>
    </row>
    <row r="221" spans="1:21" x14ac:dyDescent="0.3">
      <c r="A221">
        <v>2021</v>
      </c>
      <c r="B221">
        <v>2</v>
      </c>
      <c r="C221">
        <v>32467</v>
      </c>
      <c r="D221">
        <v>33342</v>
      </c>
      <c r="E221" t="s">
        <v>22</v>
      </c>
      <c r="F221" t="s">
        <v>21</v>
      </c>
      <c r="G221">
        <v>13303</v>
      </c>
      <c r="H221">
        <v>11259</v>
      </c>
      <c r="I221" t="s">
        <v>26</v>
      </c>
      <c r="J221" t="s">
        <v>23</v>
      </c>
      <c r="K221">
        <v>1121</v>
      </c>
      <c r="L221">
        <v>89</v>
      </c>
      <c r="M221">
        <v>277.92</v>
      </c>
      <c r="N221" t="s">
        <v>28</v>
      </c>
      <c r="O221">
        <v>0.35870000000000002</v>
      </c>
      <c r="P221">
        <v>303.62</v>
      </c>
      <c r="Q221" t="s">
        <v>25</v>
      </c>
      <c r="R221">
        <v>0.1671</v>
      </c>
      <c r="S221">
        <v>213.74</v>
      </c>
    </row>
    <row r="222" spans="1:21" x14ac:dyDescent="0.3">
      <c r="A222">
        <v>2021</v>
      </c>
      <c r="B222">
        <v>4</v>
      </c>
      <c r="C222">
        <v>32467</v>
      </c>
      <c r="D222">
        <v>33342</v>
      </c>
      <c r="E222" t="s">
        <v>22</v>
      </c>
      <c r="F222" t="s">
        <v>21</v>
      </c>
      <c r="G222">
        <v>11697</v>
      </c>
      <c r="H222">
        <v>11259</v>
      </c>
      <c r="I222" t="s">
        <v>24</v>
      </c>
      <c r="J222" t="s">
        <v>23</v>
      </c>
      <c r="K222">
        <v>1121</v>
      </c>
      <c r="L222">
        <v>164</v>
      </c>
      <c r="M222">
        <v>252.67</v>
      </c>
      <c r="N222" t="s">
        <v>25</v>
      </c>
      <c r="O222">
        <v>0.46089999999999998</v>
      </c>
      <c r="P222">
        <v>209.39</v>
      </c>
      <c r="Q222" t="s">
        <v>25</v>
      </c>
      <c r="R222">
        <v>0.46089999999999998</v>
      </c>
      <c r="S222">
        <v>209.39</v>
      </c>
    </row>
    <row r="223" spans="1:21" x14ac:dyDescent="0.3">
      <c r="A223">
        <v>2021</v>
      </c>
      <c r="B223">
        <v>4</v>
      </c>
      <c r="C223">
        <v>32467</v>
      </c>
      <c r="D223">
        <v>33342</v>
      </c>
      <c r="E223" t="s">
        <v>22</v>
      </c>
      <c r="F223" t="s">
        <v>21</v>
      </c>
      <c r="G223">
        <v>13303</v>
      </c>
      <c r="H223">
        <v>11259</v>
      </c>
      <c r="I223" t="s">
        <v>26</v>
      </c>
      <c r="J223" t="s">
        <v>23</v>
      </c>
      <c r="K223">
        <v>1121</v>
      </c>
      <c r="L223">
        <v>98</v>
      </c>
      <c r="M223">
        <v>268.31</v>
      </c>
      <c r="N223" t="s">
        <v>25</v>
      </c>
      <c r="O223">
        <v>0.30370000000000003</v>
      </c>
      <c r="P223">
        <v>207.13</v>
      </c>
      <c r="Q223" t="s">
        <v>25</v>
      </c>
      <c r="R223">
        <v>0.30370000000000003</v>
      </c>
      <c r="S223">
        <v>207.13</v>
      </c>
    </row>
    <row r="224" spans="1:21" x14ac:dyDescent="0.3">
      <c r="A224">
        <v>2021</v>
      </c>
      <c r="B224">
        <v>1</v>
      </c>
      <c r="C224">
        <v>32467</v>
      </c>
      <c r="D224">
        <v>33342</v>
      </c>
      <c r="E224" t="s">
        <v>22</v>
      </c>
      <c r="F224" t="s">
        <v>21</v>
      </c>
      <c r="G224">
        <v>11697</v>
      </c>
      <c r="H224">
        <v>11259</v>
      </c>
      <c r="I224" t="s">
        <v>24</v>
      </c>
      <c r="J224" t="s">
        <v>23</v>
      </c>
      <c r="K224">
        <v>1121</v>
      </c>
      <c r="L224">
        <v>287</v>
      </c>
      <c r="M224">
        <v>238.47</v>
      </c>
      <c r="N224" t="s">
        <v>25</v>
      </c>
      <c r="O224">
        <v>0.67490000000000006</v>
      </c>
      <c r="P224">
        <v>219.93</v>
      </c>
      <c r="Q224" t="s">
        <v>25</v>
      </c>
      <c r="R224">
        <v>0.67490000000000006</v>
      </c>
      <c r="S224">
        <v>219.93</v>
      </c>
    </row>
    <row r="225" spans="1:19" x14ac:dyDescent="0.3">
      <c r="A225">
        <v>2021</v>
      </c>
      <c r="B225">
        <v>1</v>
      </c>
      <c r="C225">
        <v>32467</v>
      </c>
      <c r="D225">
        <v>33342</v>
      </c>
      <c r="E225" t="s">
        <v>22</v>
      </c>
      <c r="F225" t="s">
        <v>21</v>
      </c>
      <c r="G225">
        <v>13303</v>
      </c>
      <c r="H225">
        <v>11259</v>
      </c>
      <c r="I225" t="s">
        <v>26</v>
      </c>
      <c r="J225" t="s">
        <v>23</v>
      </c>
      <c r="K225">
        <v>1121</v>
      </c>
      <c r="L225">
        <v>146</v>
      </c>
      <c r="M225">
        <v>263.94</v>
      </c>
      <c r="N225" t="s">
        <v>25</v>
      </c>
      <c r="O225">
        <v>0.3513</v>
      </c>
      <c r="P225">
        <v>210.46</v>
      </c>
      <c r="Q225" t="s">
        <v>25</v>
      </c>
      <c r="R225">
        <v>0.3513</v>
      </c>
      <c r="S225">
        <v>210.46</v>
      </c>
    </row>
    <row r="226" spans="1:19" x14ac:dyDescent="0.3">
      <c r="A226">
        <v>2021</v>
      </c>
      <c r="B226">
        <v>2</v>
      </c>
      <c r="C226">
        <v>32467</v>
      </c>
      <c r="D226">
        <v>33342</v>
      </c>
      <c r="E226" t="s">
        <v>22</v>
      </c>
      <c r="F226" t="s">
        <v>21</v>
      </c>
      <c r="G226">
        <v>11697</v>
      </c>
      <c r="H226">
        <v>11259</v>
      </c>
      <c r="I226" t="s">
        <v>24</v>
      </c>
      <c r="J226" t="s">
        <v>23</v>
      </c>
      <c r="K226">
        <v>1121</v>
      </c>
      <c r="L226">
        <v>184</v>
      </c>
      <c r="M226">
        <v>232.26</v>
      </c>
      <c r="N226" t="s">
        <v>25</v>
      </c>
      <c r="O226">
        <v>0.55810000000000004</v>
      </c>
      <c r="P226">
        <v>217.08</v>
      </c>
      <c r="Q226" t="s">
        <v>25</v>
      </c>
      <c r="R226">
        <v>0.55810000000000004</v>
      </c>
      <c r="S226">
        <v>217.08</v>
      </c>
    </row>
    <row r="227" spans="1:19" x14ac:dyDescent="0.3">
      <c r="A227">
        <v>2021</v>
      </c>
      <c r="B227">
        <v>2</v>
      </c>
      <c r="C227">
        <v>32467</v>
      </c>
      <c r="D227">
        <v>33342</v>
      </c>
      <c r="E227" t="s">
        <v>22</v>
      </c>
      <c r="F227" t="s">
        <v>21</v>
      </c>
      <c r="G227">
        <v>13303</v>
      </c>
      <c r="H227">
        <v>11259</v>
      </c>
      <c r="I227" t="s">
        <v>26</v>
      </c>
      <c r="J227" t="s">
        <v>23</v>
      </c>
      <c r="K227">
        <v>1121</v>
      </c>
      <c r="L227">
        <v>107</v>
      </c>
      <c r="M227">
        <v>267.02999999999997</v>
      </c>
      <c r="N227" t="s">
        <v>31</v>
      </c>
      <c r="O227">
        <v>0.35630000000000001</v>
      </c>
      <c r="P227">
        <v>260.56</v>
      </c>
      <c r="Q227" t="s">
        <v>25</v>
      </c>
      <c r="R227">
        <v>0.30380000000000001</v>
      </c>
      <c r="S227">
        <v>232.19</v>
      </c>
    </row>
    <row r="228" spans="1:19" x14ac:dyDescent="0.3">
      <c r="A228">
        <v>2021</v>
      </c>
      <c r="B228">
        <v>3</v>
      </c>
      <c r="C228">
        <v>32467</v>
      </c>
      <c r="D228">
        <v>33342</v>
      </c>
      <c r="E228" t="s">
        <v>22</v>
      </c>
      <c r="F228" t="s">
        <v>21</v>
      </c>
      <c r="G228">
        <v>11697</v>
      </c>
      <c r="H228">
        <v>11259</v>
      </c>
      <c r="I228" t="s">
        <v>24</v>
      </c>
      <c r="J228" t="s">
        <v>23</v>
      </c>
      <c r="K228">
        <v>1121</v>
      </c>
      <c r="L228">
        <v>125</v>
      </c>
      <c r="M228">
        <v>219.36</v>
      </c>
      <c r="N228" t="s">
        <v>25</v>
      </c>
      <c r="O228">
        <v>0.49299999999999999</v>
      </c>
      <c r="P228">
        <v>189.06</v>
      </c>
      <c r="Q228" t="s">
        <v>25</v>
      </c>
      <c r="R228">
        <v>0.49299999999999999</v>
      </c>
      <c r="S228">
        <v>189.06</v>
      </c>
    </row>
    <row r="229" spans="1:19" x14ac:dyDescent="0.3">
      <c r="A229">
        <v>2021</v>
      </c>
      <c r="B229">
        <v>3</v>
      </c>
      <c r="C229">
        <v>32467</v>
      </c>
      <c r="D229">
        <v>33342</v>
      </c>
      <c r="E229" t="s">
        <v>22</v>
      </c>
      <c r="F229" t="s">
        <v>21</v>
      </c>
      <c r="G229">
        <v>13303</v>
      </c>
      <c r="H229">
        <v>11259</v>
      </c>
      <c r="I229" t="s">
        <v>26</v>
      </c>
      <c r="J229" t="s">
        <v>23</v>
      </c>
      <c r="K229">
        <v>1121</v>
      </c>
      <c r="L229">
        <v>106</v>
      </c>
      <c r="M229">
        <v>225.12</v>
      </c>
      <c r="N229" t="s">
        <v>25</v>
      </c>
      <c r="O229">
        <v>0.37090000000000001</v>
      </c>
      <c r="P229">
        <v>182.17</v>
      </c>
      <c r="Q229" t="s">
        <v>25</v>
      </c>
      <c r="R229">
        <v>0.37090000000000001</v>
      </c>
      <c r="S229">
        <v>182.17</v>
      </c>
    </row>
    <row r="230" spans="1:19" x14ac:dyDescent="0.3">
      <c r="A230">
        <v>2021</v>
      </c>
      <c r="B230">
        <v>4</v>
      </c>
      <c r="C230">
        <v>32467</v>
      </c>
      <c r="D230">
        <v>33342</v>
      </c>
      <c r="E230" t="s">
        <v>22</v>
      </c>
      <c r="F230" t="s">
        <v>21</v>
      </c>
      <c r="G230">
        <v>11697</v>
      </c>
      <c r="H230">
        <v>11259</v>
      </c>
      <c r="I230" t="s">
        <v>24</v>
      </c>
      <c r="J230" t="s">
        <v>23</v>
      </c>
      <c r="K230">
        <v>1121</v>
      </c>
      <c r="L230">
        <v>164</v>
      </c>
      <c r="M230">
        <v>225.37</v>
      </c>
      <c r="N230" t="s">
        <v>25</v>
      </c>
      <c r="O230">
        <v>0.51060000000000005</v>
      </c>
      <c r="P230">
        <v>198.1</v>
      </c>
      <c r="Q230" t="s">
        <v>25</v>
      </c>
      <c r="R230">
        <v>0.51060000000000005</v>
      </c>
      <c r="S230">
        <v>198.1</v>
      </c>
    </row>
    <row r="231" spans="1:19" x14ac:dyDescent="0.3">
      <c r="A231">
        <v>2021</v>
      </c>
      <c r="B231">
        <v>4</v>
      </c>
      <c r="C231">
        <v>32467</v>
      </c>
      <c r="D231">
        <v>33342</v>
      </c>
      <c r="E231" t="s">
        <v>22</v>
      </c>
      <c r="F231" t="s">
        <v>21</v>
      </c>
      <c r="G231">
        <v>13303</v>
      </c>
      <c r="H231">
        <v>11259</v>
      </c>
      <c r="I231" t="s">
        <v>26</v>
      </c>
      <c r="J231" t="s">
        <v>23</v>
      </c>
      <c r="K231">
        <v>1121</v>
      </c>
      <c r="L231">
        <v>145</v>
      </c>
      <c r="M231">
        <v>224.3</v>
      </c>
      <c r="N231" t="s">
        <v>28</v>
      </c>
      <c r="O231">
        <v>0.41689999999999999</v>
      </c>
      <c r="P231">
        <v>223.89</v>
      </c>
      <c r="Q231" t="s">
        <v>25</v>
      </c>
      <c r="R231">
        <v>0.33529999999999999</v>
      </c>
      <c r="S231">
        <v>184.3</v>
      </c>
    </row>
    <row r="232" spans="1:19" x14ac:dyDescent="0.3">
      <c r="A232">
        <v>2021</v>
      </c>
      <c r="B232">
        <v>1</v>
      </c>
      <c r="C232">
        <v>32467</v>
      </c>
      <c r="D232">
        <v>33342</v>
      </c>
      <c r="E232" t="s">
        <v>22</v>
      </c>
      <c r="F232" t="s">
        <v>21</v>
      </c>
      <c r="G232">
        <v>11697</v>
      </c>
      <c r="H232">
        <v>11259</v>
      </c>
      <c r="I232" t="s">
        <v>24</v>
      </c>
      <c r="J232" t="s">
        <v>23</v>
      </c>
      <c r="K232">
        <v>1121</v>
      </c>
      <c r="L232">
        <v>301</v>
      </c>
      <c r="M232">
        <v>220.94</v>
      </c>
      <c r="N232" t="s">
        <v>25</v>
      </c>
      <c r="O232">
        <v>0.63680000000000003</v>
      </c>
      <c r="P232">
        <v>208.42</v>
      </c>
      <c r="Q232" t="s">
        <v>28</v>
      </c>
      <c r="R232">
        <v>0.1366</v>
      </c>
      <c r="S232">
        <v>203.56</v>
      </c>
    </row>
    <row r="233" spans="1:19" x14ac:dyDescent="0.3">
      <c r="A233">
        <v>2021</v>
      </c>
      <c r="B233">
        <v>1</v>
      </c>
      <c r="C233">
        <v>32467</v>
      </c>
      <c r="D233">
        <v>33342</v>
      </c>
      <c r="E233" t="s">
        <v>22</v>
      </c>
      <c r="F233" t="s">
        <v>21</v>
      </c>
      <c r="G233">
        <v>13303</v>
      </c>
      <c r="H233">
        <v>11259</v>
      </c>
      <c r="I233" t="s">
        <v>26</v>
      </c>
      <c r="J233" t="s">
        <v>23</v>
      </c>
      <c r="K233">
        <v>1121</v>
      </c>
      <c r="L233">
        <v>217</v>
      </c>
      <c r="M233">
        <v>228.29</v>
      </c>
      <c r="N233" t="s">
        <v>28</v>
      </c>
      <c r="O233">
        <v>0.54259999999999997</v>
      </c>
      <c r="P233">
        <v>224.81</v>
      </c>
      <c r="Q233" t="s">
        <v>25</v>
      </c>
      <c r="R233">
        <v>0.25409999999999999</v>
      </c>
      <c r="S233">
        <v>195.39</v>
      </c>
    </row>
    <row r="234" spans="1:19" x14ac:dyDescent="0.3">
      <c r="A234">
        <v>2021</v>
      </c>
      <c r="B234">
        <v>2</v>
      </c>
      <c r="C234">
        <v>32467</v>
      </c>
      <c r="D234">
        <v>33342</v>
      </c>
      <c r="E234" t="s">
        <v>22</v>
      </c>
      <c r="F234" t="s">
        <v>21</v>
      </c>
      <c r="G234">
        <v>11697</v>
      </c>
      <c r="H234">
        <v>11259</v>
      </c>
      <c r="I234" t="s">
        <v>24</v>
      </c>
      <c r="J234" t="s">
        <v>23</v>
      </c>
      <c r="K234">
        <v>1121</v>
      </c>
      <c r="L234">
        <v>207</v>
      </c>
      <c r="M234">
        <v>195.49</v>
      </c>
      <c r="N234" t="s">
        <v>25</v>
      </c>
      <c r="O234">
        <v>0.4531</v>
      </c>
      <c r="P234">
        <v>188.28</v>
      </c>
      <c r="Q234" t="s">
        <v>28</v>
      </c>
      <c r="R234">
        <v>0.17219999999999999</v>
      </c>
      <c r="S234">
        <v>188.26</v>
      </c>
    </row>
    <row r="235" spans="1:19" x14ac:dyDescent="0.3">
      <c r="A235">
        <v>2021</v>
      </c>
      <c r="B235">
        <v>2</v>
      </c>
      <c r="C235">
        <v>32467</v>
      </c>
      <c r="D235">
        <v>33342</v>
      </c>
      <c r="E235" t="s">
        <v>22</v>
      </c>
      <c r="F235" t="s">
        <v>21</v>
      </c>
      <c r="G235">
        <v>13303</v>
      </c>
      <c r="H235">
        <v>11259</v>
      </c>
      <c r="I235" t="s">
        <v>26</v>
      </c>
      <c r="J235" t="s">
        <v>23</v>
      </c>
      <c r="K235">
        <v>1121</v>
      </c>
      <c r="L235">
        <v>110</v>
      </c>
      <c r="M235">
        <v>241.22</v>
      </c>
      <c r="N235" t="s">
        <v>25</v>
      </c>
      <c r="O235">
        <v>0.3377</v>
      </c>
      <c r="P235">
        <v>215.44</v>
      </c>
      <c r="Q235" t="s">
        <v>25</v>
      </c>
      <c r="R235">
        <v>0.3377</v>
      </c>
      <c r="S235">
        <v>215.44</v>
      </c>
    </row>
  </sheetData>
  <autoFilter ref="A1:U1" xr:uid="{42AC48BD-9646-4DAB-9652-B27879D1B42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4BB1-7A10-4B1A-B5EC-AB4224C70F0D}">
  <dimension ref="A1:B11"/>
  <sheetViews>
    <sheetView workbookViewId="0">
      <selection activeCell="D3" sqref="D3"/>
    </sheetView>
  </sheetViews>
  <sheetFormatPr defaultRowHeight="13.8" x14ac:dyDescent="0.25"/>
  <cols>
    <col min="1" max="1" width="33" style="2" bestFit="1" customWidth="1"/>
    <col min="2" max="2" width="11.44140625" style="2" customWidth="1"/>
    <col min="3" max="16384" width="8.88671875" style="2"/>
  </cols>
  <sheetData>
    <row r="1" spans="1:2" ht="14.4" thickBot="1" x14ac:dyDescent="0.3">
      <c r="A1" s="54" t="s">
        <v>79</v>
      </c>
      <c r="B1" s="55"/>
    </row>
    <row r="2" spans="1:2" ht="14.4" thickBot="1" x14ac:dyDescent="0.3">
      <c r="A2" s="52" t="s">
        <v>78</v>
      </c>
      <c r="B2" s="53"/>
    </row>
    <row r="3" spans="1:2" x14ac:dyDescent="0.25">
      <c r="A3" s="11" t="s">
        <v>46</v>
      </c>
      <c r="B3" s="12">
        <f>AVERAGE('MIA to DAL'!M2:M235)</f>
        <v>176.95645299145301</v>
      </c>
    </row>
    <row r="4" spans="1:2" x14ac:dyDescent="0.25">
      <c r="A4" s="13" t="s">
        <v>47</v>
      </c>
      <c r="B4" s="14">
        <f>_xlfn.STDEV.S('MIA to DAL'!M2:M235)</f>
        <v>38.640530376715759</v>
      </c>
    </row>
    <row r="5" spans="1:2" x14ac:dyDescent="0.25">
      <c r="A5" s="13" t="s">
        <v>75</v>
      </c>
      <c r="B5" s="15">
        <f>COUNT('MIA to DAL'!M2:M235)</f>
        <v>234</v>
      </c>
    </row>
    <row r="6" spans="1:2" x14ac:dyDescent="0.25">
      <c r="A6" s="16" t="s">
        <v>77</v>
      </c>
      <c r="B6" s="17">
        <v>0.95</v>
      </c>
    </row>
    <row r="7" spans="1:2" x14ac:dyDescent="0.25">
      <c r="A7" s="13" t="s">
        <v>76</v>
      </c>
      <c r="B7" s="15">
        <v>1.96</v>
      </c>
    </row>
    <row r="8" spans="1:2" x14ac:dyDescent="0.25">
      <c r="A8" s="13" t="s">
        <v>49</v>
      </c>
      <c r="B8" s="14">
        <f>B4/SQRT(B5)</f>
        <v>2.5260104923903643</v>
      </c>
    </row>
    <row r="9" spans="1:2" x14ac:dyDescent="0.25">
      <c r="A9" s="13" t="s">
        <v>50</v>
      </c>
      <c r="B9" s="14">
        <f>B7*B8</f>
        <v>4.9509805650851142</v>
      </c>
    </row>
    <row r="10" spans="1:2" x14ac:dyDescent="0.25">
      <c r="A10" s="18" t="s">
        <v>51</v>
      </c>
      <c r="B10" s="32">
        <f>B3-B9</f>
        <v>172.0054724263679</v>
      </c>
    </row>
    <row r="11" spans="1:2" ht="14.4" thickBot="1" x14ac:dyDescent="0.3">
      <c r="A11" s="19" t="s">
        <v>52</v>
      </c>
      <c r="B11" s="33">
        <f>B3+B9</f>
        <v>181.90743355653811</v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5578-BBD9-4061-AEBC-2E0A19D2E8BB}">
  <dimension ref="A1:J19"/>
  <sheetViews>
    <sheetView tabSelected="1" zoomScaleNormal="100" workbookViewId="0">
      <selection activeCell="J22" sqref="J22"/>
    </sheetView>
  </sheetViews>
  <sheetFormatPr defaultRowHeight="13.8" x14ac:dyDescent="0.25"/>
  <cols>
    <col min="1" max="1" width="23.77734375" style="2" bestFit="1" customWidth="1"/>
    <col min="2" max="2" width="22" style="2" bestFit="1" customWidth="1"/>
    <col min="3" max="3" width="12.33203125" style="2" bestFit="1" customWidth="1"/>
    <col min="4" max="7" width="8.88671875" style="2"/>
    <col min="8" max="8" width="26.44140625" style="2" customWidth="1"/>
    <col min="9" max="9" width="14" style="2" bestFit="1" customWidth="1"/>
    <col min="10" max="10" width="9" style="2" bestFit="1" customWidth="1"/>
    <col min="11" max="16384" width="8.88671875" style="2"/>
  </cols>
  <sheetData>
    <row r="1" spans="1:10" x14ac:dyDescent="0.25">
      <c r="A1" s="47" t="s">
        <v>80</v>
      </c>
      <c r="B1" s="47"/>
      <c r="C1" s="47"/>
      <c r="D1" s="47"/>
      <c r="E1" s="47"/>
      <c r="F1" s="47"/>
    </row>
    <row r="2" spans="1:10" x14ac:dyDescent="0.25">
      <c r="A2" s="46" t="s">
        <v>81</v>
      </c>
      <c r="B2" s="46"/>
      <c r="C2" s="46"/>
      <c r="D2" s="46"/>
      <c r="E2" s="46"/>
      <c r="F2" s="46"/>
    </row>
    <row r="3" spans="1:10" x14ac:dyDescent="0.25">
      <c r="A3" s="26" t="s">
        <v>53</v>
      </c>
      <c r="B3" s="48" t="s">
        <v>82</v>
      </c>
      <c r="C3" s="48"/>
      <c r="D3" s="48"/>
      <c r="E3" s="48"/>
      <c r="F3" s="49"/>
    </row>
    <row r="4" spans="1:10" ht="15" customHeight="1" thickBot="1" x14ac:dyDescent="0.3">
      <c r="A4" s="27" t="s">
        <v>54</v>
      </c>
      <c r="B4" s="50" t="s">
        <v>83</v>
      </c>
      <c r="C4" s="50"/>
      <c r="D4" s="50"/>
      <c r="E4" s="50"/>
      <c r="F4" s="51"/>
    </row>
    <row r="5" spans="1:10" ht="14.4" thickTop="1" x14ac:dyDescent="0.25"/>
    <row r="6" spans="1:10" ht="14.4" thickBot="1" x14ac:dyDescent="0.3"/>
    <row r="7" spans="1:10" ht="14.4" thickBot="1" x14ac:dyDescent="0.3">
      <c r="A7" s="5" t="s">
        <v>55</v>
      </c>
      <c r="B7" s="34" t="s">
        <v>56</v>
      </c>
      <c r="C7" s="35" t="s">
        <v>57</v>
      </c>
      <c r="H7" s="43" t="s">
        <v>65</v>
      </c>
      <c r="I7" s="44"/>
      <c r="J7" s="45"/>
    </row>
    <row r="8" spans="1:10" ht="14.4" thickBot="1" x14ac:dyDescent="0.3">
      <c r="A8" s="3" t="s">
        <v>58</v>
      </c>
      <c r="B8" s="20">
        <f>AVERAGE('MIA to DAL'!M2:M235)</f>
        <v>176.95645299145301</v>
      </c>
      <c r="C8" s="23">
        <f>AVERAGE('DAL to MIA'!M2:M451)</f>
        <v>204.50575555555542</v>
      </c>
    </row>
    <row r="9" spans="1:10" x14ac:dyDescent="0.25">
      <c r="A9" s="3" t="s">
        <v>59</v>
      </c>
      <c r="B9" s="21">
        <f>_xlfn.STDEV.S('MIA to DAL'!M2:M235)</f>
        <v>38.640530376715759</v>
      </c>
      <c r="C9" s="24">
        <f>_xlfn.STDEV.S('DAL to MIA'!M2:M451)</f>
        <v>38.237377893052901</v>
      </c>
      <c r="H9" s="37"/>
      <c r="I9" s="37" t="s">
        <v>12</v>
      </c>
      <c r="J9" s="37" t="s">
        <v>12</v>
      </c>
    </row>
    <row r="10" spans="1:10" ht="14.4" thickBot="1" x14ac:dyDescent="0.3">
      <c r="A10" s="4" t="s">
        <v>48</v>
      </c>
      <c r="B10" s="22">
        <f>COUNT('MIA to DAL'!M2:M235)</f>
        <v>234</v>
      </c>
      <c r="C10" s="25">
        <f>COUNT('DAL to MIA'!M2:M451)</f>
        <v>450</v>
      </c>
      <c r="H10" s="2" t="s">
        <v>58</v>
      </c>
      <c r="I10" s="38">
        <v>176.95645299145301</v>
      </c>
      <c r="J10" s="38">
        <v>204.50575555555542</v>
      </c>
    </row>
    <row r="11" spans="1:10" ht="14.4" thickBot="1" x14ac:dyDescent="0.3">
      <c r="H11" s="2" t="s">
        <v>66</v>
      </c>
      <c r="I11" s="38">
        <v>1493.0905877938933</v>
      </c>
      <c r="J11" s="38">
        <v>1462.0970681361307</v>
      </c>
    </row>
    <row r="12" spans="1:10" x14ac:dyDescent="0.25">
      <c r="A12" s="6" t="s">
        <v>60</v>
      </c>
      <c r="B12" s="10">
        <f>B8-C8</f>
        <v>-27.549302564102419</v>
      </c>
      <c r="H12" s="2" t="s">
        <v>67</v>
      </c>
      <c r="I12" s="2">
        <v>234</v>
      </c>
      <c r="J12" s="2">
        <v>450</v>
      </c>
    </row>
    <row r="13" spans="1:10" x14ac:dyDescent="0.25">
      <c r="A13" s="7" t="s">
        <v>49</v>
      </c>
      <c r="B13" s="9">
        <f>SQRT((B9^2/B10)+(C9^2/C10))</f>
        <v>3.1031973194633111</v>
      </c>
      <c r="H13" s="2" t="s">
        <v>68</v>
      </c>
      <c r="I13" s="2">
        <v>0</v>
      </c>
    </row>
    <row r="14" spans="1:10" x14ac:dyDescent="0.25">
      <c r="A14" s="7" t="s">
        <v>61</v>
      </c>
      <c r="B14" s="8">
        <f>B12/B13</f>
        <v>-8.8777153780433764</v>
      </c>
      <c r="H14" s="2" t="s">
        <v>69</v>
      </c>
      <c r="I14" s="2">
        <v>468</v>
      </c>
    </row>
    <row r="15" spans="1:10" x14ac:dyDescent="0.25">
      <c r="A15" s="7" t="s">
        <v>62</v>
      </c>
      <c r="B15" s="8">
        <f>((B9^2/B10+C9^2/C10)^2)/(((B9^2/B10)^2/(B10-1))+((C9^2/C10)^2/(C10-1)))</f>
        <v>467.76502288423944</v>
      </c>
      <c r="H15" s="2" t="s">
        <v>70</v>
      </c>
      <c r="I15" s="39">
        <v>-8.8777153780433764</v>
      </c>
    </row>
    <row r="16" spans="1:10" x14ac:dyDescent="0.25">
      <c r="A16" s="28" t="s">
        <v>84</v>
      </c>
      <c r="B16" s="36">
        <f>_xlfn.T.DIST.2T(ABS(B14),B15)</f>
        <v>1.4707483586999569E-17</v>
      </c>
      <c r="H16" s="2" t="s">
        <v>71</v>
      </c>
      <c r="I16" s="57">
        <v>7.3103508355375051E-18</v>
      </c>
    </row>
    <row r="17" spans="1:10" x14ac:dyDescent="0.25">
      <c r="A17" s="28" t="s">
        <v>85</v>
      </c>
      <c r="B17" s="36">
        <f>_xlfn.T.TEST('MIA to DAL'!M2:M235,'DAL to MIA'!M2:M451,2,3)</f>
        <v>1.4641017221771758E-17</v>
      </c>
      <c r="H17" s="2" t="s">
        <v>72</v>
      </c>
      <c r="I17" s="39">
        <v>1.6481160377670006</v>
      </c>
    </row>
    <row r="18" spans="1:10" x14ac:dyDescent="0.25">
      <c r="A18" s="7" t="s">
        <v>63</v>
      </c>
      <c r="B18" s="31">
        <v>0.05</v>
      </c>
      <c r="H18" s="40" t="s">
        <v>73</v>
      </c>
      <c r="I18" s="56">
        <v>1.462070167107501E-17</v>
      </c>
    </row>
    <row r="19" spans="1:10" ht="14.4" thickBot="1" x14ac:dyDescent="0.3">
      <c r="A19" s="29" t="s">
        <v>64</v>
      </c>
      <c r="B19" s="30" t="str">
        <f>IF(B17&lt;B18,"Reject the null hypothesis","Fail to reject the null hypothesis")</f>
        <v>Reject the null hypothesis</v>
      </c>
      <c r="H19" s="41" t="s">
        <v>74</v>
      </c>
      <c r="I19" s="42">
        <v>1.9650458518371487</v>
      </c>
      <c r="J19" s="41"/>
    </row>
  </sheetData>
  <mergeCells count="5">
    <mergeCell ref="H7:J7"/>
    <mergeCell ref="A2:F2"/>
    <mergeCell ref="A1:F1"/>
    <mergeCell ref="B3:F3"/>
    <mergeCell ref="B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DAL to MIA</vt:lpstr>
      <vt:lpstr>MIA to DAL</vt:lpstr>
      <vt:lpstr>1) Confidence Interval</vt:lpstr>
      <vt:lpstr>2) 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2024-12-28T22:33:03Z</dcterms:created>
  <dcterms:modified xsi:type="dcterms:W3CDTF">2026-09-19T11:36:48Z</dcterms:modified>
</cp:coreProperties>
</file>