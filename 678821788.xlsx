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xr:revisionPtr revIDLastSave="0" documentId="13_ncr:1_{F4E3F115-8290-4718-82AB-0507728F7509}" xr6:coauthVersionLast="47" xr6:coauthVersionMax="47" xr10:uidLastSave="{00000000-0000-0000-0000-000000000000}"/>
  <bookViews>
    <workbookView xWindow="-108" yWindow="-108" windowWidth="23256" windowHeight="12456" activeTab="4" xr2:uid="{00000000-000D-0000-FFFF-FFFF00000000}"/>
  </bookViews>
  <sheets>
    <sheet name="Answers" sheetId="7" r:id="rId1"/>
    <sheet name="1" sheetId="4" r:id="rId2"/>
    <sheet name="2" sheetId="6" r:id="rId3"/>
    <sheet name="3" sheetId="2" r:id="rId4"/>
    <sheet name="4" sheetId="5" r:id="rId5"/>
    <sheet name="5" sheetId="8" r:id="rId6"/>
    <sheet name="6" sheetId="1" r:id="rId7"/>
    <sheet name="7"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7" i="8" l="1"/>
  <c r="D18" i="5"/>
  <c r="D16" i="5"/>
  <c r="D16" i="2"/>
  <c r="D20" i="6"/>
  <c r="D10" i="7" s="1"/>
  <c r="D19" i="6"/>
  <c r="D14" i="6"/>
  <c r="E26" i="4"/>
  <c r="E23" i="4"/>
  <c r="E22" i="4"/>
  <c r="E20" i="4"/>
  <c r="E19" i="4"/>
  <c r="D18" i="2"/>
  <c r="D20" i="5"/>
  <c r="D22" i="5" s="1"/>
  <c r="D22" i="1"/>
  <c r="D20" i="1"/>
  <c r="D18" i="1"/>
  <c r="D16" i="1"/>
  <c r="D23" i="7" s="1"/>
  <c r="D22" i="7"/>
  <c r="D18" i="8"/>
  <c r="D19" i="8"/>
  <c r="D20" i="7"/>
  <c r="D19" i="7"/>
  <c r="D18" i="7"/>
  <c r="D17" i="7"/>
  <c r="D13" i="7"/>
  <c r="D12" i="7"/>
  <c r="D9" i="7"/>
  <c r="D16" i="6"/>
  <c r="D15" i="6"/>
  <c r="D8" i="7"/>
  <c r="D6" i="7"/>
  <c r="E25" i="4"/>
  <c r="D5" i="7"/>
  <c r="D4" i="7"/>
  <c r="C19" i="8"/>
  <c r="C18" i="8"/>
  <c r="C17" i="8"/>
  <c r="D15" i="7" l="1"/>
  <c r="D24" i="7"/>
  <c r="D25" i="7"/>
</calcChain>
</file>

<file path=xl/sharedStrings.xml><?xml version="1.0" encoding="utf-8"?>
<sst xmlns="http://schemas.openxmlformats.org/spreadsheetml/2006/main" count="190" uniqueCount="130">
  <si>
    <t xml:space="preserve"> </t>
  </si>
  <si>
    <t>Questions</t>
  </si>
  <si>
    <t>Enter your answer here</t>
  </si>
  <si>
    <t>Problem 1</t>
  </si>
  <si>
    <t>A</t>
  </si>
  <si>
    <t>B</t>
  </si>
  <si>
    <t>C</t>
  </si>
  <si>
    <t>Problem 2</t>
  </si>
  <si>
    <t>Problem 3</t>
  </si>
  <si>
    <t>Problem 4</t>
  </si>
  <si>
    <t>Problem 5</t>
  </si>
  <si>
    <t>D</t>
  </si>
  <si>
    <t>*enter interpretation here</t>
  </si>
  <si>
    <t>Problem 6</t>
  </si>
  <si>
    <t>Enter your answer here (simply copy from the answers in tab 7).</t>
  </si>
  <si>
    <t>Problem 7</t>
  </si>
  <si>
    <t>Input Area:</t>
  </si>
  <si>
    <t xml:space="preserve">You have decided to purchase 25 oil futures contracts at a settle price of $55 per barrel. </t>
  </si>
  <si>
    <t>Settle price</t>
  </si>
  <si>
    <t>Each futures contract has a standard size of 1,000 barrels and an initial margin requirement of $5,500.</t>
  </si>
  <si>
    <t>Contract size</t>
  </si>
  <si>
    <t>barrels</t>
  </si>
  <si>
    <t>Margin</t>
  </si>
  <si>
    <t>a. What is the leverage factor associated with these contracts?</t>
  </si>
  <si>
    <t>Number of contracts</t>
  </si>
  <si>
    <t>b. If oil rises to $56.25 per barrel, what is the total percentage return on your futures position?</t>
  </si>
  <si>
    <t>c. What is the total percentage return on your futures position if oil falls to $54 per barrel?</t>
  </si>
  <si>
    <t>New price of oil</t>
  </si>
  <si>
    <t>Output Area:</t>
  </si>
  <si>
    <t>Initial margin in percent</t>
  </si>
  <si>
    <t>Leverage factor</t>
  </si>
  <si>
    <t>Cash return on oil</t>
  </si>
  <si>
    <t>Levered return</t>
  </si>
  <si>
    <t>Suppose unleaded gasoline is currently trading at $3 per gallon.</t>
  </si>
  <si>
    <t>Unleaded spot price</t>
  </si>
  <si>
    <t>per gallon</t>
  </si>
  <si>
    <t>You face an interest rate of 4 percent and a carrying cost of $.07 per gallon per month.</t>
  </si>
  <si>
    <t>Interest rate</t>
  </si>
  <si>
    <t>The current market price of a specified duration futures contract on gasoline is $2.95 per gallon.</t>
  </si>
  <si>
    <t>Carry cost per gallon per month</t>
  </si>
  <si>
    <t>You are evaluating a three-month carry trade opportunity.</t>
  </si>
  <si>
    <t>Contract length</t>
  </si>
  <si>
    <t>months</t>
  </si>
  <si>
    <t>a. Determine the present value of the storage costs (PVSC).</t>
  </si>
  <si>
    <t>Futures price</t>
  </si>
  <si>
    <t>b. Identify what the futures price should be under spot-futures parity.</t>
  </si>
  <si>
    <t>c. Explain the trades necessary to conduct the carry trade and calculate the potential profit per gallon.</t>
  </si>
  <si>
    <t>PV of storage costs</t>
  </si>
  <si>
    <t>Six month F price should be</t>
  </si>
  <si>
    <t>Decision</t>
  </si>
  <si>
    <t>FV of investment</t>
  </si>
  <si>
    <t>Arbitrage profit per gallon</t>
  </si>
  <si>
    <t>A 20-year mortgage has an annual interest rate of 4.9 percent</t>
  </si>
  <si>
    <t># of years</t>
  </si>
  <si>
    <t xml:space="preserve">and a loan amount of $250,000. </t>
  </si>
  <si>
    <t>Original balance</t>
  </si>
  <si>
    <t>What are the interest and principal for the 120th payment?</t>
  </si>
  <si>
    <t>Rate</t>
  </si>
  <si>
    <t>Payment number</t>
  </si>
  <si>
    <t>Interest</t>
  </si>
  <si>
    <t>Principal</t>
  </si>
  <si>
    <t xml:space="preserve">A homeowner took out a 30-year fixed-rate mortgage of $120,000. </t>
  </si>
  <si>
    <t>Loan amount</t>
  </si>
  <si>
    <t>The mortgage was taken out 15 years ago at a rate of 7.95 percent. If the homeowner refinances,</t>
  </si>
  <si>
    <t>the charges will be $2,000. What is the highest interest rate at which it would be beneficial</t>
  </si>
  <si>
    <t># of years left at payoff</t>
  </si>
  <si>
    <t>to refinance the mortgage?</t>
  </si>
  <si>
    <t>Refinance charges</t>
  </si>
  <si>
    <t>Monthly payment</t>
  </si>
  <si>
    <t>Mortgage balance</t>
  </si>
  <si>
    <t>Amount to borrow</t>
  </si>
  <si>
    <t>New interest rate</t>
  </si>
  <si>
    <t xml:space="preserve">Anything below this rate will result in </t>
  </si>
  <si>
    <t>lower mortgage payments.</t>
  </si>
  <si>
    <t>What are the conditional prepayment rates for seasoned 50 PSA, 200 PSA,</t>
  </si>
  <si>
    <t>PSA 100</t>
  </si>
  <si>
    <t>and 400 PSA mortgages if the 100 PSA benchmark is 3 percent per year?</t>
  </si>
  <si>
    <t xml:space="preserve">PSA  </t>
  </si>
  <si>
    <t>How do you interpret these numbers?</t>
  </si>
  <si>
    <t>PSA</t>
  </si>
  <si>
    <t>CPR</t>
  </si>
  <si>
    <t>Suppose you purchase 6,000 shares of a closed-end mutual fund at its initial public offering; the offer price is $10 per share. The offering prospectus discloses that the fund promoter gets an 8 percent fee from the offering. If this fund sells at a 7 percent discount to NAV the day after the initial public offering, what is the value of your investment?</t>
  </si>
  <si>
    <t># of shares</t>
  </si>
  <si>
    <t>Price per share</t>
  </si>
  <si>
    <t>Promoter fee</t>
  </si>
  <si>
    <t>Fund discount</t>
  </si>
  <si>
    <t>NAV @ IPO</t>
  </si>
  <si>
    <t>Share price</t>
  </si>
  <si>
    <t>Value of investment</t>
  </si>
  <si>
    <t>Gain/loss</t>
  </si>
  <si>
    <t>Question A</t>
  </si>
  <si>
    <t>A portfolio manager claims that investing in equities for longer periods makes them “less risky,” because “time diversification reduces the chance of loss.” Using the data pattern described in the Fallacy of Time Diversification section, critically evaluate this claim.
Then, derive whether a 30-year equity investor faces lower risk per year or lower total wealth volatility than a 1-year investor.
Finally, propose an alternative argument — consistent with portfolio theory — explaining why younger investors may still hold more equities despite this fallacy.</t>
  </si>
  <si>
    <t>Question B</t>
  </si>
  <si>
    <t>Private equity (PE) funds report quarterly valuations based on internal models, often using “smoothing” adjustments for unrealized gains and losses.
Assume you are evaluating a university endowment that reports stable, upward-trending returns from its PE portfolio—even during public market downturns.</t>
  </si>
  <si>
    <t>Explain how valuation smoothing and infrequent pricing can create the illusion of low volatility and high Sharpe ratios in PE fund performance.
Discuss why this illusion can mislead institutional portfolio allocation models that rely on mean–variance optimization.
Critically evaluate whether secondary market pricing (LP share resale markets) provides a better proxy for true PE volatility, and explain the trade-offs in using it.</t>
  </si>
  <si>
    <t>Question C</t>
  </si>
  <si>
    <t>A 30-year fixed-rate mortgage-backed security (MBS) and a 30-year Treasury bond have identical coupon rates and maturities. An analyst claims they should therefore exhibit nearly identical price sensitivity to interest-rate changes. Explain why this statement is fundamentally flawed, focusing on the embedded options, duration asymmetry, and investor cash-flow risk.</t>
  </si>
  <si>
    <t>Question D</t>
  </si>
  <si>
    <t>A student argues that holding a 2× leveraged S&amp;P 500 ETF for one year should deliver twice the annual return of the index.</t>
  </si>
  <si>
    <t>Why is this reasoning flawed, and how do volatility and compounding make long-term performance deviate from expectations?</t>
  </si>
  <si>
    <t>The higher the PSA number, the faster people pay off their mortgages early. 50 PSA is slower, 200 PSA is faster, and 400 PSA is the fastest.</t>
  </si>
  <si>
    <t>The student is wrong because a 2× leveraged ETF is supposed to return twice the daily return, not twice the yearly return. This is important because the ETF resets every day, so the outcome depends on daily returns. When the market is very volatile, the ETF could lose value even if the index ends up close to where it began. This is because it is harder to recover from a loss than to make a profit. Because the ETF leverages gains and losses, volatility can reduce the long-term return. Therefore, the ETF might not be twice the index return after one year.</t>
  </si>
  <si>
    <t>The analyst is wrong because an MBS is not as risky as a Treasury bond. A Treasury bond has fixed cash flows, so investors know when they will be paid. An MBS is different because homeowners can choose to pay off their mortgages early. This is known as a prepayment option. When interest rates go down, homeowners tend to refinance their mortgages, so the MBS investors get their money back earlier and have to invest it at a lower rate. When interest rates increase, homeowners do not refinance as much, so the investors are stuck in the MBS for longer. This means the MBS becomes shorter when interest rates fall and longer when they rise. Because of this, an MBS has more uncertain cash flows and different price sensitivity than a Treasury bond, even if their coupons and maturities are the same.</t>
  </si>
  <si>
    <t>PE returns can appear less risky than they actually are because the value of PE funds is not updated daily like public stocks. They are typically priced quarterly, based on estimates. This means losses may be shown slowly, not right away. This "smoothing" can make PE returns appear stable even when stock markets are declining. This reduces volatility and increases the Sharpe ratio, making PE seem like it offers high return with low risk. This can confuse allocation models into investing too much in PE. Secondary market prices can be more accurate because they reflect the prices that buyers are willing to pay. However, they are not completely accurate because prices can be lower when demand is low or when sellers need cash quickly.</t>
  </si>
  <si>
    <t xml:space="preserve">The manager is right, but the claim is misleading. Investing in equities for a long time is likely to reduce the probability of a loss because good years may offset bad years. However, this does not mean equities are less risky. The problem is that the manager is mistakenly equating a " lower chance of loss " with " lower total risk ". A 30-year investor may have lower yearly risk because the average return per year is more steady. But the final wealth (total return) at the end of 30 years can still be very volatile because the investment has more time to fluctuate up and down. Therefore a 30-year investor has lower annual risk, but not lower total wealth volatility than a 1-year investor. </t>
  </si>
  <si>
    <t>The manager is right, but the claim is misleading. Investing in equities for a long time is likely to reduce the probability of a loss because good years may offset bad years. However, this does not mean equities are less risky. The problem is that the manager is mistakenly equating a " lower chance of loss " with " lower total risk ". A 30-year investor may have lower yearly risk because the average return per year is more steady. But the final wealth (total return) at the end of 30 years can still be very volatile because the investment has more time to fluctuate up and down. Therefore a 30-year investor has lower annual risk, but not lower total wealth volatility than a 1-year investor.</t>
  </si>
  <si>
    <t>D9/(D7*D8)</t>
  </si>
  <si>
    <t>(D7*D8)/D9</t>
  </si>
  <si>
    <t>(D12-D7)/D7</t>
  </si>
  <si>
    <t>((D12-D7)*D8*D10)/(D9*D10)</t>
  </si>
  <si>
    <t>(D13-D7)/D7</t>
  </si>
  <si>
    <t>E25*$E$20</t>
  </si>
  <si>
    <t>PV($D$5/12,$D$7,-$D$6,0,0)</t>
  </si>
  <si>
    <t>($D$4+D14)*(1+$D$5/12)^$D$7</t>
  </si>
  <si>
    <t>$D$4*(1+$D$5/12)^$D$7</t>
  </si>
  <si>
    <t>ABS(D15-$D$8)</t>
  </si>
  <si>
    <t>IPMT($D$9/12,$D$10,$D$7*12,-$D$8)</t>
  </si>
  <si>
    <t>PPMT($D$9/12,$D$10,$D$7*12,-$D$8)</t>
  </si>
  <si>
    <t>PMT($D$9/12,$D$7*12,-$D$6)</t>
  </si>
  <si>
    <t>PV($D$9/12,$D$8*12,-D16)</t>
  </si>
  <si>
    <t>D18+$D$10</t>
  </si>
  <si>
    <t>RATE($D$8*12,-D16,D20)*12</t>
  </si>
  <si>
    <t>$D$7*(C17/100)</t>
  </si>
  <si>
    <t>$D$7*(C18/100)</t>
  </si>
  <si>
    <t>$D$7*(C19/100)</t>
  </si>
  <si>
    <t>$D$8*(1-$D$9)</t>
  </si>
  <si>
    <t>D16*(1-$D$10)</t>
  </si>
  <si>
    <t>$D$7*D18</t>
  </si>
  <si>
    <t>D20-($D$7*$D$8)</t>
  </si>
  <si>
    <t>Refinancing is beneficial only if the new rate is below 7.60%, because it lowers total borrowing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</si>
</sst>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AED&quot;* #,##0.00_);_(&quot;AED&quot;* \(#,##0.00\);_(&quot;AED&quot;* &quot;-&quot;??_);_(@_)"/>
    <numFmt numFmtId="165" formatCode="_(* #,##0_);_(* \(#,##0\);_(* &quot;-&quot;??_);_(@_)"/>
    <numFmt numFmtId="166" formatCode="_(&quot;$&quot;* #,##0_);_(&quot;$&quot;* \(#,##0\);_(&quot;$&quot;* &quot;-&quot;??_);_(@_)"/>
    <numFmt numFmtId="167" formatCode="&quot;$&quot;#,##0.0000_);[Red]\(&quot;$&quot;#,##0.0000\)"/>
    <numFmt numFmtId="168" formatCode="_(&quot;$&quot;* #,##0.000_);_(&quot;$&quot;* \(#,##0.000\);_(&quot;$&quot;* &quot;-&quot;??_);_(@_)"/>
  </numFmts>
  <fonts count="27" x14ac:knownFonts="1">
    <font>
      <sz val="12"/>
      <color theme="1"/>
      <name val="Aptos Narrow"/>
      <family val="2"/>
      <scheme val="minor"/>
    </font>
    <font>
      <sz val="12"/>
      <color theme="1"/>
      <name val="Aptos Narrow"/>
      <family val="2"/>
      <scheme val="minor"/>
    </font>
    <font>
      <sz val="12"/>
      <name val="Arial"/>
      <family val="2"/>
    </font>
    <font>
      <b/>
      <sz val="14"/>
      <name val="Arial"/>
      <family val="2"/>
    </font>
    <font>
      <sz val="16"/>
      <name val="Arial"/>
      <family val="2"/>
    </font>
    <font>
      <i/>
      <sz val="12"/>
      <name val="Arial"/>
      <family val="2"/>
    </font>
    <font>
      <sz val="12"/>
      <color indexed="12"/>
      <name val="Arial"/>
      <family val="2"/>
    </font>
    <font>
      <sz val="12"/>
      <color indexed="10"/>
      <name val="Arial"/>
      <family val="2"/>
    </font>
    <font>
      <b/>
      <sz val="12"/>
      <color indexed="57"/>
      <name val="Arial"/>
      <family val="2"/>
    </font>
    <font>
      <sz val="14"/>
      <name val="Arial"/>
      <family val="2"/>
    </font>
    <font>
      <b/>
      <sz val="12"/>
      <color rgb="FFFF0000"/>
      <name val="Arial"/>
      <family val="2"/>
    </font>
    <font>
      <b/>
      <sz val="14"/>
      <color theme="1"/>
      <name val="Aptos Narrow"/>
      <family val="2"/>
      <scheme val="minor"/>
    </font>
    <font>
      <b/>
      <sz val="14"/>
      <color rgb="FFFF0000"/>
      <name val="Aptos Narrow"/>
      <family val="2"/>
      <scheme val="minor"/>
    </font>
    <font>
      <b/>
      <i/>
      <sz val="14"/>
      <name val="Helvetica"/>
      <family val="2"/>
    </font>
    <font>
      <sz val="14"/>
      <color theme="1"/>
      <name val="Aptos Narrow"/>
      <family val="2"/>
      <scheme val="minor"/>
    </font>
    <font>
      <sz val="13"/>
      <name val="Arial"/>
      <family val="2"/>
    </font>
    <font>
      <b/>
      <i/>
      <sz val="13"/>
      <name val="Helvetica"/>
      <family val="2"/>
    </font>
    <font>
      <sz val="13"/>
      <color theme="1"/>
      <name val="Aptos Narrow"/>
      <family val="2"/>
      <scheme val="minor"/>
    </font>
    <font>
      <b/>
      <sz val="14"/>
      <color theme="1"/>
      <name val="Aptos Narrow"/>
      <family val="2"/>
      <scheme val="minor"/>
    </font>
    <font>
      <b/>
      <sz val="12"/>
      <name val="Arial"/>
      <family val="2"/>
    </font>
    <font>
      <sz val="12"/>
      <color rgb="FFFF0000"/>
      <name val="Aptos Narrow"/>
      <family val="2"/>
      <scheme val="minor"/>
    </font>
    <font>
      <sz val="12"/>
      <color rgb="FF000000"/>
      <name val="Aptos Narrow"/>
      <family val="2"/>
      <scheme val="minor"/>
    </font>
    <font>
      <b/>
      <sz val="13.5"/>
      <color rgb="FF000000"/>
      <name val="Aptos Narrow"/>
      <family val="2"/>
      <scheme val="minor"/>
    </font>
    <font>
      <sz val="12"/>
      <color rgb="FF000000"/>
      <name val="Aptos Narrow"/>
      <family val="2"/>
      <scheme val="minor"/>
    </font>
    <font>
      <b/>
      <sz val="12"/>
      <color theme="1"/>
      <name val="Aptos Narrow"/>
      <family val="2"/>
      <scheme val="minor"/>
    </font>
    <font>
      <sz val="12"/>
      <color theme="1"/>
      <name val="Arial"/>
      <family val="2"/>
    </font>
    <font>
      <sz val="12"/>
      <color indexed="57"/>
      <name val="Arial"/>
      <family val="2"/>
    </font>
  </fonts>
  <fills count="8">
    <fill>
      <patternFill patternType="none"/>
    </fill>
    <fill>
      <patternFill patternType="gray125"/>
    </fill>
    <fill>
      <patternFill patternType="solid">
        <fgColor indexed="47"/>
        <bgColor indexed="64"/>
      </patternFill>
    </fill>
    <fill>
      <patternFill patternType="solid">
        <fgColor indexed="43"/>
        <bgColor indexed="64"/>
      </patternFill>
    </fill>
    <fill>
      <patternFill patternType="solid">
        <fgColor rgb="FF00B0F0"/>
        <bgColor indexed="64"/>
      </patternFill>
    </fill>
    <fill>
      <patternFill patternType="solid">
        <fgColor rgb="FFFFFF00"/>
        <bgColor indexed="64"/>
      </patternFill>
    </fill>
    <fill>
      <patternFill patternType="solid">
        <fgColor rgb="FF00B0F0"/>
        <bgColor rgb="FF000000"/>
      </patternFill>
    </fill>
    <fill>
      <patternFill patternType="solid">
        <fgColor rgb="FFFFFF00"/>
        <bgColor rgb="FF000000"/>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43"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98">
    <xf numFmtId="0" fontId="0" fillId="0" borderId="0" xfId="0"/>
    <xf numFmtId="0" fontId="2" fillId="0" borderId="0" xfId="0" applyFont="1"/>
    <xf numFmtId="0" fontId="3" fillId="0" borderId="0" xfId="0" applyFont="1"/>
    <xf numFmtId="0" fontId="5" fillId="0" borderId="0" xfId="0" applyFont="1"/>
    <xf numFmtId="0" fontId="2" fillId="2" borderId="1" xfId="0" applyFont="1" applyFill="1" applyBorder="1"/>
    <xf numFmtId="0" fontId="2" fillId="2" borderId="2" xfId="0" applyFont="1" applyFill="1" applyBorder="1"/>
    <xf numFmtId="0" fontId="2" fillId="2" borderId="3" xfId="0" applyFont="1" applyFill="1" applyBorder="1"/>
    <xf numFmtId="0" fontId="2" fillId="2" borderId="4" xfId="0" applyFont="1" applyFill="1" applyBorder="1"/>
    <xf numFmtId="0" fontId="2" fillId="2" borderId="0" xfId="0" applyFont="1" applyFill="1"/>
    <xf numFmtId="165" fontId="6" fillId="2" borderId="0" xfId="1" applyNumberFormat="1" applyFont="1" applyFill="1" applyBorder="1"/>
    <xf numFmtId="0" fontId="2" fillId="2" borderId="5" xfId="0" applyFont="1" applyFill="1" applyBorder="1"/>
    <xf numFmtId="44" fontId="6" fillId="2" borderId="0" xfId="2" applyNumberFormat="1" applyFont="1" applyFill="1" applyBorder="1"/>
    <xf numFmtId="9" fontId="6" fillId="2" borderId="0" xfId="3" applyFont="1" applyFill="1" applyBorder="1"/>
    <xf numFmtId="0" fontId="2" fillId="2" borderId="6" xfId="0" applyFont="1" applyFill="1" applyBorder="1"/>
    <xf numFmtId="0" fontId="2" fillId="2" borderId="7" xfId="0" applyFont="1" applyFill="1" applyBorder="1"/>
    <xf numFmtId="0" fontId="2" fillId="2" borderId="8"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xf numFmtId="0" fontId="2" fillId="3" borderId="0" xfId="0" applyFont="1" applyFill="1"/>
    <xf numFmtId="164" fontId="7" fillId="3" borderId="0" xfId="2" applyFont="1" applyFill="1" applyBorder="1"/>
    <xf numFmtId="0" fontId="2" fillId="3" borderId="5" xfId="0" applyFont="1" applyFill="1" applyBorder="1"/>
    <xf numFmtId="164" fontId="8" fillId="3" borderId="0" xfId="2" applyFont="1" applyFill="1" applyBorder="1"/>
    <xf numFmtId="0" fontId="2" fillId="3" borderId="6" xfId="0" applyFont="1" applyFill="1" applyBorder="1"/>
    <xf numFmtId="0" fontId="2" fillId="3" borderId="7" xfId="0" applyFont="1" applyFill="1" applyBorder="1"/>
    <xf numFmtId="0" fontId="2" fillId="3" borderId="8" xfId="0" applyFont="1" applyFill="1" applyBorder="1"/>
    <xf numFmtId="166" fontId="6" fillId="2" borderId="0" xfId="2" applyNumberFormat="1" applyFont="1" applyFill="1" applyBorder="1"/>
    <xf numFmtId="164" fontId="6" fillId="2" borderId="0" xfId="2" applyFont="1" applyFill="1" applyBorder="1"/>
    <xf numFmtId="10" fontId="6" fillId="2" borderId="0" xfId="3" applyNumberFormat="1" applyFont="1" applyFill="1" applyBorder="1"/>
    <xf numFmtId="41" fontId="6" fillId="2" borderId="0" xfId="3" applyNumberFormat="1" applyFont="1" applyFill="1" applyBorder="1"/>
    <xf numFmtId="10" fontId="8" fillId="3" borderId="0" xfId="3" applyNumberFormat="1" applyFont="1" applyFill="1" applyBorder="1"/>
    <xf numFmtId="0" fontId="2" fillId="4" borderId="9" xfId="0" applyFont="1" applyFill="1" applyBorder="1"/>
    <xf numFmtId="0" fontId="0" fillId="4" borderId="9" xfId="0" applyFill="1" applyBorder="1"/>
    <xf numFmtId="0" fontId="11" fillId="0" borderId="0" xfId="0" applyFont="1"/>
    <xf numFmtId="0" fontId="12" fillId="0" borderId="0" xfId="0" applyFont="1"/>
    <xf numFmtId="0" fontId="11" fillId="5" borderId="9" xfId="0" applyFont="1" applyFill="1" applyBorder="1"/>
    <xf numFmtId="43" fontId="8" fillId="3" borderId="0" xfId="1" applyFont="1" applyFill="1" applyBorder="1"/>
    <xf numFmtId="10" fontId="2" fillId="4" borderId="9" xfId="3" applyNumberFormat="1" applyFont="1" applyFill="1" applyBorder="1"/>
    <xf numFmtId="0" fontId="9"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9" fontId="6" fillId="2" borderId="0" xfId="1" applyNumberFormat="1" applyFont="1" applyFill="1" applyBorder="1"/>
    <xf numFmtId="168" fontId="8" fillId="3" borderId="0" xfId="2" applyNumberFormat="1" applyFont="1" applyFill="1" applyBorder="1"/>
    <xf numFmtId="0" fontId="18" fillId="0" borderId="0" xfId="0" applyFont="1"/>
    <xf numFmtId="167" fontId="2" fillId="3" borderId="0" xfId="0" applyNumberFormat="1" applyFont="1" applyFill="1"/>
    <xf numFmtId="0" fontId="2" fillId="3" borderId="5" xfId="0" quotePrefix="1" applyFont="1" applyFill="1" applyBorder="1"/>
    <xf numFmtId="168" fontId="19" fillId="4" borderId="9" xfId="2" applyNumberFormat="1" applyFont="1" applyFill="1" applyBorder="1"/>
    <xf numFmtId="164" fontId="19" fillId="4" borderId="9" xfId="2" applyFont="1" applyFill="1" applyBorder="1"/>
    <xf numFmtId="44" fontId="8" fillId="3" borderId="0" xfId="2" applyNumberFormat="1" applyFont="1" applyFill="1" applyBorder="1"/>
    <xf numFmtId="8" fontId="2" fillId="3" borderId="5" xfId="2" quotePrefix="1" applyNumberFormat="1" applyFont="1" applyFill="1" applyBorder="1"/>
    <xf numFmtId="165" fontId="6" fillId="2" borderId="5" xfId="1" applyNumberFormat="1" applyFont="1" applyFill="1" applyBorder="1"/>
    <xf numFmtId="166" fontId="6" fillId="2" borderId="5" xfId="2" applyNumberFormat="1" applyFont="1" applyFill="1" applyBorder="1"/>
    <xf numFmtId="10" fontId="6" fillId="2" borderId="5" xfId="3" applyNumberFormat="1" applyFont="1" applyFill="1" applyBorder="1"/>
    <xf numFmtId="8" fontId="19" fillId="4" borderId="9" xfId="2" applyNumberFormat="1" applyFont="1" applyFill="1" applyBorder="1"/>
    <xf numFmtId="42" fontId="6" fillId="2" borderId="0" xfId="0" applyNumberFormat="1" applyFont="1" applyFill="1"/>
    <xf numFmtId="42" fontId="6" fillId="2" borderId="0" xfId="3" applyNumberFormat="1" applyFont="1" applyFill="1" applyBorder="1"/>
    <xf numFmtId="44" fontId="2" fillId="3" borderId="0" xfId="0" applyNumberFormat="1" applyFont="1" applyFill="1"/>
    <xf numFmtId="8" fontId="8" fillId="3" borderId="0" xfId="2" applyNumberFormat="1" applyFont="1" applyFill="1" applyBorder="1"/>
    <xf numFmtId="0" fontId="19" fillId="4" borderId="9" xfId="0" applyFont="1" applyFill="1" applyBorder="1"/>
    <xf numFmtId="0" fontId="6" fillId="2" borderId="0" xfId="0" applyFont="1" applyFill="1"/>
    <xf numFmtId="0" fontId="2" fillId="3" borderId="0" xfId="0" applyFont="1" applyFill="1" applyAlignment="1">
      <alignment horizontal="center"/>
    </xf>
    <xf numFmtId="0" fontId="7" fillId="3" borderId="0" xfId="0" applyFont="1" applyFill="1" applyAlignment="1">
      <alignment horizontal="center"/>
    </xf>
    <xf numFmtId="0" fontId="19" fillId="6" borderId="9" xfId="0" applyFont="1" applyFill="1" applyBorder="1"/>
    <xf numFmtId="10" fontId="19" fillId="4" borderId="9" xfId="3" applyNumberFormat="1" applyFont="1" applyFill="1" applyBorder="1" applyAlignment="1">
      <alignment horizontal="center"/>
    </xf>
    <xf numFmtId="0" fontId="19" fillId="4" borderId="10" xfId="0" applyFont="1" applyFill="1" applyBorder="1"/>
    <xf numFmtId="10" fontId="10" fillId="3" borderId="9" xfId="3" applyNumberFormat="1" applyFont="1" applyFill="1" applyBorder="1"/>
    <xf numFmtId="167" fontId="2" fillId="3" borderId="9" xfId="0" applyNumberFormat="1" applyFont="1" applyFill="1" applyBorder="1"/>
    <xf numFmtId="168" fontId="8" fillId="3" borderId="9" xfId="2" applyNumberFormat="1" applyFont="1" applyFill="1" applyBorder="1"/>
    <xf numFmtId="10" fontId="19" fillId="4" borderId="9" xfId="2" applyNumberFormat="1" applyFont="1" applyFill="1" applyBorder="1"/>
    <xf numFmtId="8" fontId="19" fillId="4" borderId="9" xfId="0" applyNumberFormat="1" applyFont="1" applyFill="1" applyBorder="1"/>
    <xf numFmtId="44" fontId="19" fillId="4" borderId="9" xfId="2" applyNumberFormat="1" applyFont="1" applyFill="1" applyBorder="1"/>
    <xf numFmtId="0" fontId="20" fillId="0" borderId="0" xfId="0" applyFont="1"/>
    <xf numFmtId="0" fontId="21" fillId="0" borderId="0" xfId="0" applyFont="1" applyAlignment="1">
      <alignment wrapText="1"/>
    </xf>
    <xf numFmtId="0" fontId="22" fillId="0" borderId="0" xfId="0" applyFont="1" applyAlignment="1">
      <alignment wrapText="1"/>
    </xf>
    <xf numFmtId="0" fontId="23" fillId="0" borderId="0" xfId="0" applyFont="1" applyAlignment="1">
      <alignment wrapText="1"/>
    </xf>
    <xf numFmtId="0" fontId="2" fillId="6" borderId="9" xfId="0" applyFont="1" applyFill="1" applyBorder="1"/>
    <xf numFmtId="0" fontId="24" fillId="0" borderId="0" xfId="0" applyFont="1"/>
    <xf numFmtId="10" fontId="2" fillId="4" borderId="9" xfId="0" applyNumberFormat="1" applyFont="1" applyFill="1" applyBorder="1"/>
    <xf numFmtId="10" fontId="0" fillId="4" borderId="9" xfId="0" applyNumberFormat="1" applyFill="1" applyBorder="1"/>
    <xf numFmtId="8" fontId="2" fillId="4" borderId="9" xfId="0" applyNumberFormat="1" applyFont="1" applyFill="1" applyBorder="1"/>
    <xf numFmtId="8" fontId="7" fillId="3" borderId="9" xfId="0" applyNumberFormat="1" applyFont="1" applyFill="1" applyBorder="1"/>
    <xf numFmtId="8" fontId="7" fillId="3" borderId="9" xfId="2" applyNumberFormat="1" applyFont="1" applyFill="1" applyBorder="1"/>
    <xf numFmtId="8" fontId="0" fillId="4" borderId="0" xfId="0" applyNumberFormat="1" applyFill="1"/>
    <xf numFmtId="44" fontId="2" fillId="4" borderId="9" xfId="0" applyNumberFormat="1" applyFont="1" applyFill="1" applyBorder="1"/>
    <xf numFmtId="0" fontId="2" fillId="4" borderId="9" xfId="0" applyFont="1" applyFill="1" applyBorder="1" applyAlignment="1">
      <alignment wrapText="1"/>
    </xf>
    <xf numFmtId="0" fontId="25" fillId="4" borderId="9" xfId="0" applyFont="1" applyFill="1" applyBorder="1" applyAlignment="1">
      <alignment wrapText="1"/>
    </xf>
    <xf numFmtId="0" fontId="4" fillId="0" borderId="0" xfId="0" applyFont="1" applyAlignment="1">
      <alignment horizontal="left" wrapText="1"/>
    </xf>
    <xf numFmtId="0" fontId="4" fillId="0" borderId="0" xfId="0" applyFont="1" applyAlignment="1">
      <alignment horizontal="left"/>
    </xf>
    <xf numFmtId="0" fontId="21" fillId="7" borderId="11" xfId="0" applyFont="1" applyFill="1" applyBorder="1" applyAlignment="1">
      <alignment horizontal="center" wrapText="1"/>
    </xf>
    <xf numFmtId="0" fontId="21" fillId="7" borderId="0" xfId="0" applyFont="1" applyFill="1" applyAlignment="1">
      <alignment horizontal="center" wrapText="1"/>
    </xf>
    <xf numFmtId="166" fontId="2" fillId="4" borderId="9" xfId="0" applyNumberFormat="1" applyFont="1" applyFill="1" applyBorder="1"/>
    <xf numFmtId="8" fontId="2" fillId="3" borderId="5" xfId="0" quotePrefix="1" applyNumberFormat="1" applyFont="1" applyFill="1" applyBorder="1"/>
    <xf numFmtId="4" fontId="19" fillId="4" borderId="9" xfId="2" applyNumberFormat="1" applyFont="1" applyFill="1" applyBorder="1"/>
    <xf numFmtId="8" fontId="26" fillId="3" borderId="0" xfId="2" applyNumberFormat="1" applyFont="1" applyFill="1" applyBorder="1" applyAlignment="1">
      <alignmen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59"/>
  <sheetViews>
    <sheetView topLeftCell="A13" workbookViewId="0">
      <selection activeCell="D29" sqref="D29"/>
    </sheetView>
  </sheetViews>
  <sheetFormatPr defaultColWidth="11" defaultRowHeight="18" x14ac:dyDescent="0.35"/>
  <cols>
    <col min="2" max="2" width="12.3984375" style="34" bestFit="1" customWidth="1"/>
    <col min="3" max="3" width="10.69921875" style="34" bestFit="1" customWidth="1"/>
    <col min="4" max="4" width="23.296875" bestFit="1" customWidth="1"/>
    <col min="5" max="5" width="22.3984375" bestFit="1" customWidth="1"/>
    <col min="7" max="7" width="75.09765625" bestFit="1" customWidth="1"/>
  </cols>
  <sheetData>
    <row r="2" spans="2:4" x14ac:dyDescent="0.35">
      <c r="D2" t="s">
        <v>0</v>
      </c>
    </row>
    <row r="3" spans="2:4" x14ac:dyDescent="0.35">
      <c r="C3" s="35" t="s">
        <v>1</v>
      </c>
      <c r="D3" s="36" t="s">
        <v>2</v>
      </c>
    </row>
    <row r="4" spans="2:4" x14ac:dyDescent="0.35">
      <c r="B4" s="34" t="s">
        <v>3</v>
      </c>
      <c r="C4" s="35" t="s">
        <v>4</v>
      </c>
      <c r="D4" s="32">
        <f>'1'!E20</f>
        <v>10</v>
      </c>
    </row>
    <row r="5" spans="2:4" x14ac:dyDescent="0.35">
      <c r="C5" s="35" t="s">
        <v>5</v>
      </c>
      <c r="D5" s="81">
        <f>'1'!E23</f>
        <v>0.22727272727272727</v>
      </c>
    </row>
    <row r="6" spans="2:4" x14ac:dyDescent="0.35">
      <c r="C6" s="35" t="s">
        <v>6</v>
      </c>
      <c r="D6" s="82">
        <f>'1'!E26</f>
        <v>-0.18181818181818182</v>
      </c>
    </row>
    <row r="7" spans="2:4" x14ac:dyDescent="0.35">
      <c r="C7" s="35"/>
    </row>
    <row r="8" spans="2:4" x14ac:dyDescent="0.35">
      <c r="B8" s="34" t="s">
        <v>7</v>
      </c>
      <c r="C8" s="35" t="s">
        <v>4</v>
      </c>
      <c r="D8" s="32">
        <f>'2'!D15</f>
        <v>3.2408008888888986</v>
      </c>
    </row>
    <row r="9" spans="2:4" x14ac:dyDescent="0.35">
      <c r="C9" s="35" t="s">
        <v>5</v>
      </c>
      <c r="D9" s="32">
        <f>'2'!D19</f>
        <v>3.0301001111111123</v>
      </c>
    </row>
    <row r="10" spans="2:4" x14ac:dyDescent="0.35">
      <c r="C10" s="35" t="s">
        <v>6</v>
      </c>
      <c r="D10" s="33">
        <f>'2'!D20</f>
        <v>0.29080088888889843</v>
      </c>
    </row>
    <row r="11" spans="2:4" x14ac:dyDescent="0.35">
      <c r="C11" s="35"/>
    </row>
    <row r="12" spans="2:4" x14ac:dyDescent="0.35">
      <c r="B12" s="34" t="s">
        <v>8</v>
      </c>
      <c r="C12" s="35" t="s">
        <v>4</v>
      </c>
      <c r="D12" s="83">
        <f>'3'!D16</f>
        <v>636.86560652877563</v>
      </c>
    </row>
    <row r="13" spans="2:4" x14ac:dyDescent="0.35">
      <c r="C13" s="35" t="s">
        <v>5</v>
      </c>
      <c r="D13" s="83">
        <f>'3'!D18</f>
        <v>999.24451591369007</v>
      </c>
    </row>
    <row r="14" spans="2:4" x14ac:dyDescent="0.35">
      <c r="C14" s="35"/>
    </row>
    <row r="15" spans="2:4" x14ac:dyDescent="0.35">
      <c r="B15" s="34" t="s">
        <v>9</v>
      </c>
      <c r="C15" s="35" t="s">
        <v>4</v>
      </c>
      <c r="D15" s="81">
        <f>'4'!D22</f>
        <v>7.5962698507513637E-2</v>
      </c>
    </row>
    <row r="16" spans="2:4" x14ac:dyDescent="0.35">
      <c r="C16" s="35"/>
    </row>
    <row r="17" spans="2:7" x14ac:dyDescent="0.35">
      <c r="B17" s="34" t="s">
        <v>10</v>
      </c>
      <c r="C17" s="35" t="s">
        <v>4</v>
      </c>
      <c r="D17" s="81">
        <f>'5'!D17</f>
        <v>1.4999999999999999E-2</v>
      </c>
    </row>
    <row r="18" spans="2:7" x14ac:dyDescent="0.35">
      <c r="C18" s="35" t="s">
        <v>5</v>
      </c>
      <c r="D18" s="81">
        <f>'5'!D18</f>
        <v>0.06</v>
      </c>
    </row>
    <row r="19" spans="2:7" x14ac:dyDescent="0.35">
      <c r="C19" s="35" t="s">
        <v>6</v>
      </c>
      <c r="D19" s="82">
        <f>'5'!D19</f>
        <v>0.12</v>
      </c>
    </row>
    <row r="20" spans="2:7" x14ac:dyDescent="0.35">
      <c r="C20" s="35" t="s">
        <v>11</v>
      </c>
      <c r="D20" s="86" t="str">
        <f>'5'!D21</f>
        <v>The higher the PSA number, the faster people pay off their mortgages early. 50 PSA is slower, 200 PSA is faster, and 400 PSA is the fastest.</v>
      </c>
      <c r="E20" t="s">
        <v>12</v>
      </c>
    </row>
    <row r="22" spans="2:7" x14ac:dyDescent="0.35">
      <c r="B22" s="34" t="s">
        <v>13</v>
      </c>
      <c r="C22" s="35" t="s">
        <v>4</v>
      </c>
      <c r="D22" s="32">
        <f>'6'!D16</f>
        <v>9.2000000000000011</v>
      </c>
    </row>
    <row r="23" spans="2:7" x14ac:dyDescent="0.35">
      <c r="C23" s="35" t="s">
        <v>5</v>
      </c>
      <c r="D23" s="87">
        <f>'6'!D18</f>
        <v>8.5560000000000009</v>
      </c>
    </row>
    <row r="24" spans="2:7" x14ac:dyDescent="0.35">
      <c r="C24" s="35" t="s">
        <v>6</v>
      </c>
      <c r="D24" s="32">
        <f>'6'!D20</f>
        <v>51336.000000000007</v>
      </c>
    </row>
    <row r="25" spans="2:7" x14ac:dyDescent="0.35">
      <c r="B25"/>
      <c r="C25" s="35" t="s">
        <v>11</v>
      </c>
      <c r="D25" s="32">
        <f>'6'!D22</f>
        <v>-8663.9999999999927</v>
      </c>
    </row>
    <row r="26" spans="2:7" ht="15.6" x14ac:dyDescent="0.3">
      <c r="B26"/>
      <c r="C26"/>
    </row>
    <row r="27" spans="2:7" ht="15.6" x14ac:dyDescent="0.3">
      <c r="B27"/>
      <c r="C27"/>
    </row>
    <row r="28" spans="2:7" ht="15.6" x14ac:dyDescent="0.3">
      <c r="B28"/>
      <c r="C28"/>
      <c r="G28" s="33" t="s">
        <v>14</v>
      </c>
    </row>
    <row r="29" spans="2:7" ht="144" customHeight="1" x14ac:dyDescent="0.3">
      <c r="B29"/>
      <c r="C29"/>
      <c r="E29" s="80" t="s">
        <v>15</v>
      </c>
      <c r="F29" s="75" t="s">
        <v>4</v>
      </c>
      <c r="G29" s="88" t="s">
        <v>105</v>
      </c>
    </row>
    <row r="30" spans="2:7" ht="151.19999999999999" customHeight="1" x14ac:dyDescent="0.35">
      <c r="B30"/>
      <c r="C30"/>
      <c r="E30" s="34"/>
      <c r="F30" s="75" t="s">
        <v>5</v>
      </c>
      <c r="G30" s="88" t="s">
        <v>103</v>
      </c>
    </row>
    <row r="31" spans="2:7" ht="154.80000000000001" customHeight="1" x14ac:dyDescent="0.35">
      <c r="B31"/>
      <c r="C31"/>
      <c r="E31" s="34"/>
      <c r="F31" s="75" t="s">
        <v>6</v>
      </c>
      <c r="G31" s="89" t="s">
        <v>102</v>
      </c>
    </row>
    <row r="32" spans="2:7" ht="114.6" customHeight="1" x14ac:dyDescent="0.3">
      <c r="B32"/>
      <c r="C32"/>
      <c r="F32" s="75" t="s">
        <v>11</v>
      </c>
      <c r="G32" s="88" t="s">
        <v>101</v>
      </c>
    </row>
    <row r="33" spans="2:3" ht="15.6" x14ac:dyDescent="0.3">
      <c r="B33"/>
      <c r="C33"/>
    </row>
    <row r="34" spans="2:3" ht="15.6" x14ac:dyDescent="0.3">
      <c r="B34"/>
      <c r="C34"/>
    </row>
    <row r="35" spans="2:3" ht="15.6" x14ac:dyDescent="0.3">
      <c r="B35"/>
      <c r="C35"/>
    </row>
    <row r="36" spans="2:3" ht="15.6" x14ac:dyDescent="0.3">
      <c r="B36"/>
      <c r="C36"/>
    </row>
    <row r="37" spans="2:3" ht="15.6" x14ac:dyDescent="0.3">
      <c r="B37"/>
      <c r="C37"/>
    </row>
    <row r="38" spans="2:3" ht="15.6" x14ac:dyDescent="0.3">
      <c r="B38"/>
      <c r="C38"/>
    </row>
    <row r="39" spans="2:3" ht="15.6" x14ac:dyDescent="0.3">
      <c r="B39"/>
      <c r="C39"/>
    </row>
    <row r="40" spans="2:3" ht="15.6" x14ac:dyDescent="0.3">
      <c r="B40"/>
      <c r="C40"/>
    </row>
    <row r="41" spans="2:3" ht="15.6" x14ac:dyDescent="0.3">
      <c r="B41"/>
      <c r="C41"/>
    </row>
    <row r="42" spans="2:3" ht="15.6" x14ac:dyDescent="0.3">
      <c r="B42"/>
      <c r="C42"/>
    </row>
    <row r="43" spans="2:3" ht="15.6" x14ac:dyDescent="0.3">
      <c r="B43"/>
      <c r="C43"/>
    </row>
    <row r="44" spans="2:3" ht="15.6" x14ac:dyDescent="0.3">
      <c r="B44"/>
      <c r="C44"/>
    </row>
    <row r="45" spans="2:3" ht="15.6" x14ac:dyDescent="0.3">
      <c r="B45"/>
      <c r="C45"/>
    </row>
    <row r="46" spans="2:3" ht="15.6" x14ac:dyDescent="0.3">
      <c r="B46"/>
      <c r="C46"/>
    </row>
    <row r="47" spans="2:3" ht="15.6" x14ac:dyDescent="0.3">
      <c r="B47"/>
      <c r="C47"/>
    </row>
    <row r="48" spans="2:3" ht="15.6" x14ac:dyDescent="0.3">
      <c r="B48"/>
      <c r="C48"/>
    </row>
    <row r="49" spans="2:3" ht="15.6" x14ac:dyDescent="0.3">
      <c r="B49"/>
      <c r="C49"/>
    </row>
    <row r="50" spans="2:3" ht="15.6" x14ac:dyDescent="0.3">
      <c r="B50"/>
      <c r="C50"/>
    </row>
    <row r="51" spans="2:3" ht="15.6" x14ac:dyDescent="0.3">
      <c r="B51"/>
      <c r="C51"/>
    </row>
    <row r="52" spans="2:3" ht="15.6" x14ac:dyDescent="0.3">
      <c r="B52"/>
      <c r="C52"/>
    </row>
    <row r="53" spans="2:3" ht="15.6" x14ac:dyDescent="0.3">
      <c r="B53"/>
      <c r="C53"/>
    </row>
    <row r="54" spans="2:3" ht="15.6" x14ac:dyDescent="0.3">
      <c r="B54"/>
      <c r="C54"/>
    </row>
    <row r="55" spans="2:3" ht="15.6" x14ac:dyDescent="0.3">
      <c r="B55"/>
      <c r="C55"/>
    </row>
    <row r="56" spans="2:3" ht="15.6" x14ac:dyDescent="0.3">
      <c r="B56"/>
      <c r="C56"/>
    </row>
    <row r="57" spans="2:3" ht="15.6" x14ac:dyDescent="0.3">
      <c r="B57"/>
      <c r="C57"/>
    </row>
    <row r="58" spans="2:3" ht="15.6" x14ac:dyDescent="0.3">
      <c r="B58"/>
      <c r="C58"/>
    </row>
    <row r="59" spans="2:3" ht="15.6" x14ac:dyDescent="0.3">
      <c r="B59"/>
      <c r="C5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I28"/>
  <sheetViews>
    <sheetView topLeftCell="A10" workbookViewId="0">
      <selection activeCell="F30" sqref="F30"/>
    </sheetView>
  </sheetViews>
  <sheetFormatPr defaultColWidth="11" defaultRowHeight="15.6" x14ac:dyDescent="0.3"/>
  <cols>
    <col min="3" max="3" width="18.09765625" bestFit="1" customWidth="1"/>
    <col min="4" max="4" width="11.69921875" bestFit="1" customWidth="1"/>
    <col min="5" max="5" width="12.3984375" customWidth="1"/>
    <col min="6" max="6" width="27.5" bestFit="1" customWidth="1"/>
    <col min="7" max="7" width="3.59765625" customWidth="1"/>
    <col min="9" max="9" width="110" bestFit="1" customWidth="1"/>
  </cols>
  <sheetData>
    <row r="4" spans="2:9" x14ac:dyDescent="0.3">
      <c r="B4" s="1"/>
      <c r="C4" s="3" t="s">
        <v>16</v>
      </c>
      <c r="D4" s="1"/>
      <c r="E4" s="1"/>
      <c r="F4" s="1"/>
      <c r="G4" s="1"/>
      <c r="H4" s="1"/>
      <c r="I4" s="1"/>
    </row>
    <row r="5" spans="2:9" ht="17.399999999999999" thickBot="1" x14ac:dyDescent="0.35">
      <c r="B5" s="1"/>
      <c r="C5" s="1"/>
      <c r="D5" s="1"/>
      <c r="E5" s="1"/>
      <c r="F5" s="1"/>
      <c r="G5" s="1"/>
      <c r="H5" s="1"/>
      <c r="I5" s="42"/>
    </row>
    <row r="6" spans="2:9" ht="16.8" x14ac:dyDescent="0.3">
      <c r="B6" s="4"/>
      <c r="C6" s="5"/>
      <c r="D6" s="5"/>
      <c r="E6" s="5"/>
      <c r="F6" s="5"/>
      <c r="G6" s="6"/>
      <c r="H6" s="1"/>
      <c r="I6" s="43" t="s">
        <v>17</v>
      </c>
    </row>
    <row r="7" spans="2:9" ht="16.8" x14ac:dyDescent="0.3">
      <c r="B7" s="7"/>
      <c r="C7" s="8" t="s">
        <v>18</v>
      </c>
      <c r="D7" s="28">
        <v>55</v>
      </c>
      <c r="E7" s="8"/>
      <c r="F7" s="8"/>
      <c r="G7" s="10"/>
      <c r="H7" s="1"/>
      <c r="I7" s="43" t="s">
        <v>19</v>
      </c>
    </row>
    <row r="8" spans="2:9" ht="16.8" x14ac:dyDescent="0.3">
      <c r="B8" s="7"/>
      <c r="C8" s="8" t="s">
        <v>20</v>
      </c>
      <c r="D8" s="9">
        <v>1000</v>
      </c>
      <c r="E8" s="8" t="s">
        <v>21</v>
      </c>
      <c r="F8" s="8"/>
      <c r="G8" s="10"/>
      <c r="H8" s="1"/>
      <c r="I8" s="43"/>
    </row>
    <row r="9" spans="2:9" ht="16.8" x14ac:dyDescent="0.3">
      <c r="B9" s="7"/>
      <c r="C9" s="8" t="s">
        <v>22</v>
      </c>
      <c r="D9" s="27">
        <v>5500</v>
      </c>
      <c r="E9" s="8"/>
      <c r="F9" s="8"/>
      <c r="G9" s="10"/>
      <c r="H9" s="1"/>
      <c r="I9" s="43" t="s">
        <v>23</v>
      </c>
    </row>
    <row r="10" spans="2:9" ht="16.8" x14ac:dyDescent="0.3">
      <c r="B10" s="7"/>
      <c r="C10" s="8" t="s">
        <v>24</v>
      </c>
      <c r="D10" s="9">
        <v>25</v>
      </c>
      <c r="E10" s="8"/>
      <c r="F10" s="8"/>
      <c r="G10" s="10"/>
      <c r="H10" s="1"/>
      <c r="I10" s="43" t="s">
        <v>25</v>
      </c>
    </row>
    <row r="11" spans="2:9" ht="16.8" x14ac:dyDescent="0.3">
      <c r="B11" s="7"/>
      <c r="C11" s="8"/>
      <c r="D11" s="28"/>
      <c r="E11" s="8"/>
      <c r="F11" s="8"/>
      <c r="G11" s="10"/>
      <c r="H11" s="1"/>
      <c r="I11" s="43" t="s">
        <v>26</v>
      </c>
    </row>
    <row r="12" spans="2:9" ht="17.399999999999999" x14ac:dyDescent="0.35">
      <c r="B12" s="7"/>
      <c r="C12" s="8" t="s">
        <v>27</v>
      </c>
      <c r="D12" s="28">
        <v>56.25</v>
      </c>
      <c r="E12" s="8"/>
      <c r="F12" s="8"/>
      <c r="G12" s="10"/>
      <c r="H12" s="1"/>
      <c r="I12" s="44"/>
    </row>
    <row r="13" spans="2:9" x14ac:dyDescent="0.3">
      <c r="B13" s="7"/>
      <c r="C13" s="8" t="s">
        <v>27</v>
      </c>
      <c r="D13" s="28">
        <v>54</v>
      </c>
      <c r="E13" s="8"/>
      <c r="F13" s="8"/>
      <c r="G13" s="10"/>
      <c r="H13" s="1"/>
    </row>
    <row r="14" spans="2:9" ht="16.2" thickBot="1" x14ac:dyDescent="0.35">
      <c r="B14" s="13"/>
      <c r="C14" s="14"/>
      <c r="D14" s="14"/>
      <c r="E14" s="14"/>
      <c r="F14" s="14"/>
      <c r="G14" s="15"/>
      <c r="H14" s="1"/>
      <c r="I14" s="1"/>
    </row>
    <row r="15" spans="2:9" x14ac:dyDescent="0.3">
      <c r="B15" s="1"/>
      <c r="C15" s="1"/>
      <c r="D15" s="1"/>
      <c r="E15" s="1"/>
      <c r="F15" s="1"/>
      <c r="G15" s="1"/>
      <c r="H15" s="1"/>
      <c r="I15" s="1"/>
    </row>
    <row r="16" spans="2:9" x14ac:dyDescent="0.3">
      <c r="B16" s="1"/>
      <c r="C16" s="3" t="s">
        <v>28</v>
      </c>
      <c r="D16" s="1"/>
      <c r="E16" s="1"/>
      <c r="F16" s="1"/>
      <c r="G16" s="1"/>
      <c r="H16" s="1"/>
      <c r="I16" s="1"/>
    </row>
    <row r="17" spans="2:9" ht="16.2" thickBot="1" x14ac:dyDescent="0.35">
      <c r="B17" s="1"/>
      <c r="C17" s="1"/>
      <c r="D17" s="1"/>
      <c r="E17" s="1"/>
      <c r="F17" s="1"/>
      <c r="G17" s="1"/>
      <c r="H17" s="1"/>
      <c r="I17" s="1"/>
    </row>
    <row r="18" spans="2:9" x14ac:dyDescent="0.3">
      <c r="B18" s="16"/>
      <c r="C18" s="17"/>
      <c r="D18" s="17"/>
      <c r="E18" s="17"/>
      <c r="F18" s="17"/>
      <c r="G18" s="18"/>
      <c r="H18" s="1"/>
      <c r="I18" s="1"/>
    </row>
    <row r="19" spans="2:9" x14ac:dyDescent="0.3">
      <c r="B19" s="19"/>
      <c r="C19" s="20" t="s">
        <v>29</v>
      </c>
      <c r="D19" s="20"/>
      <c r="E19" s="69">
        <f>D9/(D7*D8)</f>
        <v>0.1</v>
      </c>
      <c r="F19" s="20" t="s">
        <v>106</v>
      </c>
      <c r="G19" s="22"/>
      <c r="I19" s="1"/>
    </row>
    <row r="20" spans="2:9" x14ac:dyDescent="0.3">
      <c r="B20" s="19"/>
      <c r="C20" s="20" t="s">
        <v>30</v>
      </c>
      <c r="D20" s="20"/>
      <c r="E20" s="94">
        <f>(D7*D8)/D9</f>
        <v>10</v>
      </c>
      <c r="F20" s="20" t="s">
        <v>107</v>
      </c>
      <c r="G20" s="22"/>
      <c r="H20" s="32" t="s">
        <v>4</v>
      </c>
      <c r="I20" s="1"/>
    </row>
    <row r="21" spans="2:9" x14ac:dyDescent="0.3">
      <c r="B21" s="19"/>
      <c r="C21" s="20"/>
      <c r="D21" s="20"/>
      <c r="E21" s="37"/>
      <c r="F21" s="20"/>
      <c r="G21" s="22"/>
      <c r="H21" s="1"/>
      <c r="I21" s="1"/>
    </row>
    <row r="22" spans="2:9" x14ac:dyDescent="0.3">
      <c r="B22" s="19"/>
      <c r="C22" s="20" t="s">
        <v>31</v>
      </c>
      <c r="D22" s="20"/>
      <c r="E22" s="69">
        <f>(D12-D7)/D7</f>
        <v>2.2727272727272728E-2</v>
      </c>
      <c r="F22" s="20" t="s">
        <v>108</v>
      </c>
      <c r="G22" s="22"/>
      <c r="I22" s="1"/>
    </row>
    <row r="23" spans="2:9" x14ac:dyDescent="0.3">
      <c r="B23" s="19"/>
      <c r="C23" s="20" t="s">
        <v>32</v>
      </c>
      <c r="D23" s="20"/>
      <c r="E23" s="38">
        <f>((D12-D7)*D8*D10)/(D9*D10)</f>
        <v>0.22727272727272727</v>
      </c>
      <c r="F23" s="20" t="s">
        <v>109</v>
      </c>
      <c r="G23" s="22"/>
      <c r="H23" s="32" t="s">
        <v>5</v>
      </c>
      <c r="I23" s="1"/>
    </row>
    <row r="24" spans="2:9" x14ac:dyDescent="0.3">
      <c r="B24" s="19"/>
      <c r="C24" s="20"/>
      <c r="D24" s="20"/>
      <c r="E24" s="31"/>
      <c r="F24" s="20"/>
      <c r="G24" s="22"/>
      <c r="I24" s="1"/>
    </row>
    <row r="25" spans="2:9" x14ac:dyDescent="0.3">
      <c r="B25" s="19"/>
      <c r="C25" s="20" t="s">
        <v>31</v>
      </c>
      <c r="D25" s="20"/>
      <c r="E25" s="69">
        <f>(D13-D7)/D7</f>
        <v>-1.8181818181818181E-2</v>
      </c>
      <c r="F25" s="20" t="s">
        <v>110</v>
      </c>
      <c r="G25" s="22"/>
      <c r="H25" s="1"/>
      <c r="I25" s="1"/>
    </row>
    <row r="26" spans="2:9" x14ac:dyDescent="0.3">
      <c r="B26" s="19"/>
      <c r="C26" s="20" t="s">
        <v>32</v>
      </c>
      <c r="D26" s="20"/>
      <c r="E26" s="38">
        <f>E25*$E$20</f>
        <v>-0.18181818181818182</v>
      </c>
      <c r="F26" s="20" t="s">
        <v>111</v>
      </c>
      <c r="G26" s="22"/>
      <c r="H26" s="32" t="s">
        <v>6</v>
      </c>
      <c r="I26" s="1"/>
    </row>
    <row r="27" spans="2:9" ht="16.2" thickBot="1" x14ac:dyDescent="0.35">
      <c r="B27" s="24"/>
      <c r="C27" s="25"/>
      <c r="D27" s="25"/>
      <c r="E27" s="25"/>
      <c r="F27" s="25"/>
      <c r="G27" s="26"/>
      <c r="H27" s="1"/>
      <c r="I27" s="1"/>
    </row>
    <row r="28" spans="2:9" x14ac:dyDescent="0.3">
      <c r="B28" s="1"/>
      <c r="C28" s="1"/>
      <c r="D28" s="1"/>
      <c r="E28" s="1"/>
      <c r="F28" s="1"/>
      <c r="G28" s="1"/>
      <c r="H28" s="1"/>
      <c r="I2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2"/>
  <sheetViews>
    <sheetView zoomScale="80" zoomScaleNormal="80" workbookViewId="0">
      <selection activeCell="F20" sqref="F20"/>
    </sheetView>
  </sheetViews>
  <sheetFormatPr defaultColWidth="11" defaultRowHeight="18" x14ac:dyDescent="0.35"/>
  <cols>
    <col min="3" max="3" width="30.09765625" bestFit="1" customWidth="1"/>
    <col min="4" max="4" width="11.69921875" bestFit="1" customWidth="1"/>
    <col min="6" max="6" width="39" bestFit="1" customWidth="1"/>
    <col min="9" max="9" width="122.09765625" style="41" bestFit="1" customWidth="1"/>
  </cols>
  <sheetData>
    <row r="1" spans="2:9" x14ac:dyDescent="0.35">
      <c r="B1" s="1"/>
      <c r="C1" s="3" t="s">
        <v>16</v>
      </c>
      <c r="D1" s="1"/>
      <c r="E1" s="1"/>
      <c r="F1" s="1"/>
      <c r="G1" s="1"/>
      <c r="H1" s="1"/>
      <c r="I1" s="47"/>
    </row>
    <row r="2" spans="2:9" x14ac:dyDescent="0.35">
      <c r="B2" s="1"/>
      <c r="C2" s="1"/>
      <c r="D2" s="1"/>
      <c r="E2" s="1"/>
      <c r="F2" s="1"/>
      <c r="G2" s="1"/>
      <c r="H2" s="1"/>
    </row>
    <row r="3" spans="2:9" ht="17.399999999999999" x14ac:dyDescent="0.3">
      <c r="B3" s="4"/>
      <c r="C3" s="5"/>
      <c r="D3" s="5"/>
      <c r="E3" s="5"/>
      <c r="F3" s="6"/>
      <c r="G3" s="1"/>
      <c r="H3" s="1"/>
      <c r="I3" s="40" t="s">
        <v>33</v>
      </c>
    </row>
    <row r="4" spans="2:9" ht="17.399999999999999" x14ac:dyDescent="0.3">
      <c r="B4" s="7"/>
      <c r="C4" s="8" t="s">
        <v>34</v>
      </c>
      <c r="D4" s="28">
        <v>3</v>
      </c>
      <c r="E4" s="8" t="s">
        <v>35</v>
      </c>
      <c r="F4" s="10"/>
      <c r="G4" s="1"/>
      <c r="I4" s="40" t="s">
        <v>36</v>
      </c>
    </row>
    <row r="5" spans="2:9" ht="17.399999999999999" x14ac:dyDescent="0.3">
      <c r="B5" s="7"/>
      <c r="C5" s="8" t="s">
        <v>37</v>
      </c>
      <c r="D5" s="45">
        <v>0.04</v>
      </c>
      <c r="E5" s="8"/>
      <c r="F5" s="10"/>
      <c r="G5" s="1"/>
      <c r="I5" s="40" t="s">
        <v>38</v>
      </c>
    </row>
    <row r="6" spans="2:9" ht="17.399999999999999" x14ac:dyDescent="0.3">
      <c r="B6" s="7"/>
      <c r="C6" s="8" t="s">
        <v>39</v>
      </c>
      <c r="D6" s="28">
        <v>7.0000000000000007E-2</v>
      </c>
      <c r="E6" s="8"/>
      <c r="F6" s="10"/>
      <c r="G6" s="1"/>
      <c r="I6" s="40" t="s">
        <v>40</v>
      </c>
    </row>
    <row r="7" spans="2:9" ht="17.399999999999999" x14ac:dyDescent="0.3">
      <c r="B7" s="7"/>
      <c r="C7" s="8" t="s">
        <v>41</v>
      </c>
      <c r="D7" s="9">
        <v>3</v>
      </c>
      <c r="E7" s="8" t="s">
        <v>42</v>
      </c>
      <c r="F7" s="10"/>
      <c r="G7" s="1"/>
      <c r="I7" s="40" t="s">
        <v>43</v>
      </c>
    </row>
    <row r="8" spans="2:9" ht="17.399999999999999" x14ac:dyDescent="0.3">
      <c r="B8" s="7"/>
      <c r="C8" s="8" t="s">
        <v>44</v>
      </c>
      <c r="D8" s="28">
        <v>2.95</v>
      </c>
      <c r="E8" s="28"/>
      <c r="F8" s="10"/>
      <c r="G8" s="1"/>
      <c r="I8" s="40" t="s">
        <v>45</v>
      </c>
    </row>
    <row r="9" spans="2:9" thickBot="1" x14ac:dyDescent="0.35">
      <c r="B9" s="13"/>
      <c r="C9" s="14"/>
      <c r="D9" s="14"/>
      <c r="E9" s="14"/>
      <c r="F9" s="15"/>
      <c r="G9" s="1"/>
      <c r="H9" s="1"/>
      <c r="I9" s="40" t="s">
        <v>46</v>
      </c>
    </row>
    <row r="10" spans="2:9" ht="17.399999999999999" x14ac:dyDescent="0.3">
      <c r="B10" s="1"/>
      <c r="C10" s="1"/>
      <c r="D10" s="1"/>
      <c r="E10" s="1"/>
      <c r="F10" s="1"/>
      <c r="G10" s="1"/>
      <c r="H10" s="1"/>
      <c r="I10" s="2"/>
    </row>
    <row r="11" spans="2:9" ht="15.6" x14ac:dyDescent="0.3">
      <c r="B11" s="1"/>
      <c r="C11" s="3" t="s">
        <v>28</v>
      </c>
      <c r="D11" s="1"/>
      <c r="E11" s="1"/>
      <c r="F11" s="1"/>
      <c r="G11" s="1"/>
      <c r="H11" s="1"/>
      <c r="I11" s="1"/>
    </row>
    <row r="12" spans="2:9" ht="16.2" thickBot="1" x14ac:dyDescent="0.35">
      <c r="B12" s="1"/>
      <c r="C12" s="1"/>
      <c r="D12" s="1"/>
      <c r="E12" s="1"/>
      <c r="F12" s="1"/>
      <c r="G12" s="1"/>
      <c r="H12" s="1"/>
      <c r="I12" s="1"/>
    </row>
    <row r="13" spans="2:9" x14ac:dyDescent="0.35">
      <c r="B13" s="16"/>
      <c r="C13" s="17"/>
      <c r="D13" s="17"/>
      <c r="E13" s="17"/>
      <c r="F13" s="18"/>
      <c r="G13" s="1"/>
      <c r="H13" s="1"/>
      <c r="I13" s="47"/>
    </row>
    <row r="14" spans="2:9" x14ac:dyDescent="0.35">
      <c r="B14" s="19"/>
      <c r="C14" s="20" t="s">
        <v>47</v>
      </c>
      <c r="D14" s="70">
        <f>PV($D$5/12,$D$7,-$D$6,0,0)</f>
        <v>0.20860773906957558</v>
      </c>
      <c r="E14" s="48"/>
      <c r="F14" s="95" t="s">
        <v>112</v>
      </c>
      <c r="G14" s="1"/>
      <c r="H14" s="1"/>
      <c r="I14" s="47"/>
    </row>
    <row r="15" spans="2:9" ht="17.399999999999999" x14ac:dyDescent="0.3">
      <c r="B15" s="19"/>
      <c r="C15" s="20" t="s">
        <v>48</v>
      </c>
      <c r="D15" s="50">
        <f>($D$4+D14)*(1+$D$5/12)^$D$7</f>
        <v>3.2408008888888986</v>
      </c>
      <c r="E15" s="68" t="s">
        <v>4</v>
      </c>
      <c r="F15" s="49" t="s">
        <v>113</v>
      </c>
      <c r="G15" s="1"/>
      <c r="H15" s="1"/>
      <c r="I15" s="39"/>
    </row>
    <row r="16" spans="2:9" ht="17.399999999999999" x14ac:dyDescent="0.3">
      <c r="B16" s="19"/>
      <c r="C16" s="20" t="s">
        <v>49</v>
      </c>
      <c r="D16" s="71" t="str">
        <f>IF($D$8&lt;D15,"Buy futures",IF($D$8&gt;D15,"Sell futures","No arbitrage"))</f>
        <v>Buy futures</v>
      </c>
      <c r="E16" s="46"/>
      <c r="F16" s="49"/>
      <c r="G16" s="1"/>
      <c r="H16" s="1"/>
      <c r="I16" s="39"/>
    </row>
    <row r="17" spans="2:9" ht="17.399999999999999" x14ac:dyDescent="0.3">
      <c r="B17" s="19"/>
      <c r="C17" s="20"/>
      <c r="D17" s="71"/>
      <c r="E17" s="46"/>
      <c r="F17" s="49"/>
      <c r="G17" s="1"/>
      <c r="H17" s="1"/>
      <c r="I17" s="39"/>
    </row>
    <row r="18" spans="2:9" ht="17.399999999999999" x14ac:dyDescent="0.3">
      <c r="B18" s="19"/>
      <c r="C18" s="20"/>
      <c r="D18" s="71"/>
      <c r="E18" s="46"/>
      <c r="F18" s="49"/>
      <c r="G18" s="1"/>
      <c r="H18" s="1"/>
      <c r="I18" s="39"/>
    </row>
    <row r="19" spans="2:9" ht="17.399999999999999" x14ac:dyDescent="0.3">
      <c r="B19" s="19"/>
      <c r="C19" s="20" t="s">
        <v>50</v>
      </c>
      <c r="D19" s="51">
        <f>$D$4*(1+$D$5/12)^$D$7</f>
        <v>3.0301001111111123</v>
      </c>
      <c r="E19" s="62" t="s">
        <v>5</v>
      </c>
      <c r="F19" s="49" t="s">
        <v>114</v>
      </c>
      <c r="G19" s="1"/>
      <c r="H19" s="1"/>
      <c r="I19" s="39"/>
    </row>
    <row r="20" spans="2:9" ht="17.399999999999999" x14ac:dyDescent="0.3">
      <c r="B20" s="19"/>
      <c r="C20" s="20" t="s">
        <v>51</v>
      </c>
      <c r="D20" s="51">
        <f>ABS(D15-$D$8)</f>
        <v>0.29080088888889843</v>
      </c>
      <c r="E20" s="62" t="s">
        <v>6</v>
      </c>
      <c r="F20" s="49" t="s">
        <v>115</v>
      </c>
      <c r="G20" s="1"/>
      <c r="H20" s="1"/>
      <c r="I20" s="39"/>
    </row>
    <row r="21" spans="2:9" thickBot="1" x14ac:dyDescent="0.35">
      <c r="B21" s="24"/>
      <c r="C21" s="25"/>
      <c r="D21" s="25"/>
      <c r="E21" s="25"/>
      <c r="F21" s="26"/>
      <c r="G21" s="1"/>
      <c r="H21" s="1"/>
      <c r="I21" s="39"/>
    </row>
    <row r="22" spans="2:9" ht="17.399999999999999" x14ac:dyDescent="0.3">
      <c r="B22" s="1"/>
      <c r="C22" s="1"/>
      <c r="D22" s="1"/>
      <c r="E22" s="1"/>
      <c r="F22" s="1"/>
      <c r="G22" s="1"/>
      <c r="H22" s="1"/>
      <c r="I22" s="3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2"/>
  <sheetViews>
    <sheetView workbookViewId="0">
      <selection activeCell="E21" sqref="E21"/>
    </sheetView>
  </sheetViews>
  <sheetFormatPr defaultColWidth="8.796875" defaultRowHeight="15.6" x14ac:dyDescent="0.3"/>
  <cols>
    <col min="2" max="2" width="3.09765625" customWidth="1"/>
    <col min="3" max="3" width="26.3984375" customWidth="1"/>
    <col min="4" max="4" width="21.69921875" customWidth="1"/>
    <col min="5" max="5" width="36.59765625" bestFit="1" customWidth="1"/>
    <col min="6" max="6" width="2.3984375" bestFit="1" customWidth="1"/>
    <col min="7" max="7" width="73.3984375" bestFit="1" customWidth="1"/>
    <col min="258" max="258" width="3.09765625" customWidth="1"/>
    <col min="259" max="259" width="26.3984375" customWidth="1"/>
    <col min="260" max="260" width="21.69921875" customWidth="1"/>
    <col min="261" max="261" width="4.3984375" customWidth="1"/>
    <col min="514" max="514" width="3.09765625" customWidth="1"/>
    <col min="515" max="515" width="26.3984375" customWidth="1"/>
    <col min="516" max="516" width="21.69921875" customWidth="1"/>
    <col min="517" max="517" width="4.3984375" customWidth="1"/>
    <col min="770" max="770" width="3.09765625" customWidth="1"/>
    <col min="771" max="771" width="26.3984375" customWidth="1"/>
    <col min="772" max="772" width="21.69921875" customWidth="1"/>
    <col min="773" max="773" width="4.3984375" customWidth="1"/>
    <col min="1026" max="1026" width="3.09765625" customWidth="1"/>
    <col min="1027" max="1027" width="26.3984375" customWidth="1"/>
    <col min="1028" max="1028" width="21.69921875" customWidth="1"/>
    <col min="1029" max="1029" width="4.3984375" customWidth="1"/>
    <col min="1282" max="1282" width="3.09765625" customWidth="1"/>
    <col min="1283" max="1283" width="26.3984375" customWidth="1"/>
    <col min="1284" max="1284" width="21.69921875" customWidth="1"/>
    <col min="1285" max="1285" width="4.3984375" customWidth="1"/>
    <col min="1538" max="1538" width="3.09765625" customWidth="1"/>
    <col min="1539" max="1539" width="26.3984375" customWidth="1"/>
    <col min="1540" max="1540" width="21.69921875" customWidth="1"/>
    <col min="1541" max="1541" width="4.3984375" customWidth="1"/>
    <col min="1794" max="1794" width="3.09765625" customWidth="1"/>
    <col min="1795" max="1795" width="26.3984375" customWidth="1"/>
    <col min="1796" max="1796" width="21.69921875" customWidth="1"/>
    <col min="1797" max="1797" width="4.3984375" customWidth="1"/>
    <col min="2050" max="2050" width="3.09765625" customWidth="1"/>
    <col min="2051" max="2051" width="26.3984375" customWidth="1"/>
    <col min="2052" max="2052" width="21.69921875" customWidth="1"/>
    <col min="2053" max="2053" width="4.3984375" customWidth="1"/>
    <col min="2306" max="2306" width="3.09765625" customWidth="1"/>
    <col min="2307" max="2307" width="26.3984375" customWidth="1"/>
    <col min="2308" max="2308" width="21.69921875" customWidth="1"/>
    <col min="2309" max="2309" width="4.3984375" customWidth="1"/>
    <col min="2562" max="2562" width="3.09765625" customWidth="1"/>
    <col min="2563" max="2563" width="26.3984375" customWidth="1"/>
    <col min="2564" max="2564" width="21.69921875" customWidth="1"/>
    <col min="2565" max="2565" width="4.3984375" customWidth="1"/>
    <col min="2818" max="2818" width="3.09765625" customWidth="1"/>
    <col min="2819" max="2819" width="26.3984375" customWidth="1"/>
    <col min="2820" max="2820" width="21.69921875" customWidth="1"/>
    <col min="2821" max="2821" width="4.3984375" customWidth="1"/>
    <col min="3074" max="3074" width="3.09765625" customWidth="1"/>
    <col min="3075" max="3075" width="26.3984375" customWidth="1"/>
    <col min="3076" max="3076" width="21.69921875" customWidth="1"/>
    <col min="3077" max="3077" width="4.3984375" customWidth="1"/>
    <col min="3330" max="3330" width="3.09765625" customWidth="1"/>
    <col min="3331" max="3331" width="26.3984375" customWidth="1"/>
    <col min="3332" max="3332" width="21.69921875" customWidth="1"/>
    <col min="3333" max="3333" width="4.3984375" customWidth="1"/>
    <col min="3586" max="3586" width="3.09765625" customWidth="1"/>
    <col min="3587" max="3587" width="26.3984375" customWidth="1"/>
    <col min="3588" max="3588" width="21.69921875" customWidth="1"/>
    <col min="3589" max="3589" width="4.3984375" customWidth="1"/>
    <col min="3842" max="3842" width="3.09765625" customWidth="1"/>
    <col min="3843" max="3843" width="26.3984375" customWidth="1"/>
    <col min="3844" max="3844" width="21.69921875" customWidth="1"/>
    <col min="3845" max="3845" width="4.3984375" customWidth="1"/>
    <col min="4098" max="4098" width="3.09765625" customWidth="1"/>
    <col min="4099" max="4099" width="26.3984375" customWidth="1"/>
    <col min="4100" max="4100" width="21.69921875" customWidth="1"/>
    <col min="4101" max="4101" width="4.3984375" customWidth="1"/>
    <col min="4354" max="4354" width="3.09765625" customWidth="1"/>
    <col min="4355" max="4355" width="26.3984375" customWidth="1"/>
    <col min="4356" max="4356" width="21.69921875" customWidth="1"/>
    <col min="4357" max="4357" width="4.3984375" customWidth="1"/>
    <col min="4610" max="4610" width="3.09765625" customWidth="1"/>
    <col min="4611" max="4611" width="26.3984375" customWidth="1"/>
    <col min="4612" max="4612" width="21.69921875" customWidth="1"/>
    <col min="4613" max="4613" width="4.3984375" customWidth="1"/>
    <col min="4866" max="4866" width="3.09765625" customWidth="1"/>
    <col min="4867" max="4867" width="26.3984375" customWidth="1"/>
    <col min="4868" max="4868" width="21.69921875" customWidth="1"/>
    <col min="4869" max="4869" width="4.3984375" customWidth="1"/>
    <col min="5122" max="5122" width="3.09765625" customWidth="1"/>
    <col min="5123" max="5123" width="26.3984375" customWidth="1"/>
    <col min="5124" max="5124" width="21.69921875" customWidth="1"/>
    <col min="5125" max="5125" width="4.3984375" customWidth="1"/>
    <col min="5378" max="5378" width="3.09765625" customWidth="1"/>
    <col min="5379" max="5379" width="26.3984375" customWidth="1"/>
    <col min="5380" max="5380" width="21.69921875" customWidth="1"/>
    <col min="5381" max="5381" width="4.3984375" customWidth="1"/>
    <col min="5634" max="5634" width="3.09765625" customWidth="1"/>
    <col min="5635" max="5635" width="26.3984375" customWidth="1"/>
    <col min="5636" max="5636" width="21.69921875" customWidth="1"/>
    <col min="5637" max="5637" width="4.3984375" customWidth="1"/>
    <col min="5890" max="5890" width="3.09765625" customWidth="1"/>
    <col min="5891" max="5891" width="26.3984375" customWidth="1"/>
    <col min="5892" max="5892" width="21.69921875" customWidth="1"/>
    <col min="5893" max="5893" width="4.3984375" customWidth="1"/>
    <col min="6146" max="6146" width="3.09765625" customWidth="1"/>
    <col min="6147" max="6147" width="26.3984375" customWidth="1"/>
    <col min="6148" max="6148" width="21.69921875" customWidth="1"/>
    <col min="6149" max="6149" width="4.3984375" customWidth="1"/>
    <col min="6402" max="6402" width="3.09765625" customWidth="1"/>
    <col min="6403" max="6403" width="26.3984375" customWidth="1"/>
    <col min="6404" max="6404" width="21.69921875" customWidth="1"/>
    <col min="6405" max="6405" width="4.3984375" customWidth="1"/>
    <col min="6658" max="6658" width="3.09765625" customWidth="1"/>
    <col min="6659" max="6659" width="26.3984375" customWidth="1"/>
    <col min="6660" max="6660" width="21.69921875" customWidth="1"/>
    <col min="6661" max="6661" width="4.3984375" customWidth="1"/>
    <col min="6914" max="6914" width="3.09765625" customWidth="1"/>
    <col min="6915" max="6915" width="26.3984375" customWidth="1"/>
    <col min="6916" max="6916" width="21.69921875" customWidth="1"/>
    <col min="6917" max="6917" width="4.3984375" customWidth="1"/>
    <col min="7170" max="7170" width="3.09765625" customWidth="1"/>
    <col min="7171" max="7171" width="26.3984375" customWidth="1"/>
    <col min="7172" max="7172" width="21.69921875" customWidth="1"/>
    <col min="7173" max="7173" width="4.3984375" customWidth="1"/>
    <col min="7426" max="7426" width="3.09765625" customWidth="1"/>
    <col min="7427" max="7427" width="26.3984375" customWidth="1"/>
    <col min="7428" max="7428" width="21.69921875" customWidth="1"/>
    <col min="7429" max="7429" width="4.3984375" customWidth="1"/>
    <col min="7682" max="7682" width="3.09765625" customWidth="1"/>
    <col min="7683" max="7683" width="26.3984375" customWidth="1"/>
    <col min="7684" max="7684" width="21.69921875" customWidth="1"/>
    <col min="7685" max="7685" width="4.3984375" customWidth="1"/>
    <col min="7938" max="7938" width="3.09765625" customWidth="1"/>
    <col min="7939" max="7939" width="26.3984375" customWidth="1"/>
    <col min="7940" max="7940" width="21.69921875" customWidth="1"/>
    <col min="7941" max="7941" width="4.3984375" customWidth="1"/>
    <col min="8194" max="8194" width="3.09765625" customWidth="1"/>
    <col min="8195" max="8195" width="26.3984375" customWidth="1"/>
    <col min="8196" max="8196" width="21.69921875" customWidth="1"/>
    <col min="8197" max="8197" width="4.3984375" customWidth="1"/>
    <col min="8450" max="8450" width="3.09765625" customWidth="1"/>
    <col min="8451" max="8451" width="26.3984375" customWidth="1"/>
    <col min="8452" max="8452" width="21.69921875" customWidth="1"/>
    <col min="8453" max="8453" width="4.3984375" customWidth="1"/>
    <col min="8706" max="8706" width="3.09765625" customWidth="1"/>
    <col min="8707" max="8707" width="26.3984375" customWidth="1"/>
    <col min="8708" max="8708" width="21.69921875" customWidth="1"/>
    <col min="8709" max="8709" width="4.3984375" customWidth="1"/>
    <col min="8962" max="8962" width="3.09765625" customWidth="1"/>
    <col min="8963" max="8963" width="26.3984375" customWidth="1"/>
    <col min="8964" max="8964" width="21.69921875" customWidth="1"/>
    <col min="8965" max="8965" width="4.3984375" customWidth="1"/>
    <col min="9218" max="9218" width="3.09765625" customWidth="1"/>
    <col min="9219" max="9219" width="26.3984375" customWidth="1"/>
    <col min="9220" max="9220" width="21.69921875" customWidth="1"/>
    <col min="9221" max="9221" width="4.3984375" customWidth="1"/>
    <col min="9474" max="9474" width="3.09765625" customWidth="1"/>
    <col min="9475" max="9475" width="26.3984375" customWidth="1"/>
    <col min="9476" max="9476" width="21.69921875" customWidth="1"/>
    <col min="9477" max="9477" width="4.3984375" customWidth="1"/>
    <col min="9730" max="9730" width="3.09765625" customWidth="1"/>
    <col min="9731" max="9731" width="26.3984375" customWidth="1"/>
    <col min="9732" max="9732" width="21.69921875" customWidth="1"/>
    <col min="9733" max="9733" width="4.3984375" customWidth="1"/>
    <col min="9986" max="9986" width="3.09765625" customWidth="1"/>
    <col min="9987" max="9987" width="26.3984375" customWidth="1"/>
    <col min="9988" max="9988" width="21.69921875" customWidth="1"/>
    <col min="9989" max="9989" width="4.3984375" customWidth="1"/>
    <col min="10242" max="10242" width="3.09765625" customWidth="1"/>
    <col min="10243" max="10243" width="26.3984375" customWidth="1"/>
    <col min="10244" max="10244" width="21.69921875" customWidth="1"/>
    <col min="10245" max="10245" width="4.3984375" customWidth="1"/>
    <col min="10498" max="10498" width="3.09765625" customWidth="1"/>
    <col min="10499" max="10499" width="26.3984375" customWidth="1"/>
    <col min="10500" max="10500" width="21.69921875" customWidth="1"/>
    <col min="10501" max="10501" width="4.3984375" customWidth="1"/>
    <col min="10754" max="10754" width="3.09765625" customWidth="1"/>
    <col min="10755" max="10755" width="26.3984375" customWidth="1"/>
    <col min="10756" max="10756" width="21.69921875" customWidth="1"/>
    <col min="10757" max="10757" width="4.3984375" customWidth="1"/>
    <col min="11010" max="11010" width="3.09765625" customWidth="1"/>
    <col min="11011" max="11011" width="26.3984375" customWidth="1"/>
    <col min="11012" max="11012" width="21.69921875" customWidth="1"/>
    <col min="11013" max="11013" width="4.3984375" customWidth="1"/>
    <col min="11266" max="11266" width="3.09765625" customWidth="1"/>
    <col min="11267" max="11267" width="26.3984375" customWidth="1"/>
    <col min="11268" max="11268" width="21.69921875" customWidth="1"/>
    <col min="11269" max="11269" width="4.3984375" customWidth="1"/>
    <col min="11522" max="11522" width="3.09765625" customWidth="1"/>
    <col min="11523" max="11523" width="26.3984375" customWidth="1"/>
    <col min="11524" max="11524" width="21.69921875" customWidth="1"/>
    <col min="11525" max="11525" width="4.3984375" customWidth="1"/>
    <col min="11778" max="11778" width="3.09765625" customWidth="1"/>
    <col min="11779" max="11779" width="26.3984375" customWidth="1"/>
    <col min="11780" max="11780" width="21.69921875" customWidth="1"/>
    <col min="11781" max="11781" width="4.3984375" customWidth="1"/>
    <col min="12034" max="12034" width="3.09765625" customWidth="1"/>
    <col min="12035" max="12035" width="26.3984375" customWidth="1"/>
    <col min="12036" max="12036" width="21.69921875" customWidth="1"/>
    <col min="12037" max="12037" width="4.3984375" customWidth="1"/>
    <col min="12290" max="12290" width="3.09765625" customWidth="1"/>
    <col min="12291" max="12291" width="26.3984375" customWidth="1"/>
    <col min="12292" max="12292" width="21.69921875" customWidth="1"/>
    <col min="12293" max="12293" width="4.3984375" customWidth="1"/>
    <col min="12546" max="12546" width="3.09765625" customWidth="1"/>
    <col min="12547" max="12547" width="26.3984375" customWidth="1"/>
    <col min="12548" max="12548" width="21.69921875" customWidth="1"/>
    <col min="12549" max="12549" width="4.3984375" customWidth="1"/>
    <col min="12802" max="12802" width="3.09765625" customWidth="1"/>
    <col min="12803" max="12803" width="26.3984375" customWidth="1"/>
    <col min="12804" max="12804" width="21.69921875" customWidth="1"/>
    <col min="12805" max="12805" width="4.3984375" customWidth="1"/>
    <col min="13058" max="13058" width="3.09765625" customWidth="1"/>
    <col min="13059" max="13059" width="26.3984375" customWidth="1"/>
    <col min="13060" max="13060" width="21.69921875" customWidth="1"/>
    <col min="13061" max="13061" width="4.3984375" customWidth="1"/>
    <col min="13314" max="13314" width="3.09765625" customWidth="1"/>
    <col min="13315" max="13315" width="26.3984375" customWidth="1"/>
    <col min="13316" max="13316" width="21.69921875" customWidth="1"/>
    <col min="13317" max="13317" width="4.3984375" customWidth="1"/>
    <col min="13570" max="13570" width="3.09765625" customWidth="1"/>
    <col min="13571" max="13571" width="26.3984375" customWidth="1"/>
    <col min="13572" max="13572" width="21.69921875" customWidth="1"/>
    <col min="13573" max="13573" width="4.3984375" customWidth="1"/>
    <col min="13826" max="13826" width="3.09765625" customWidth="1"/>
    <col min="13827" max="13827" width="26.3984375" customWidth="1"/>
    <col min="13828" max="13828" width="21.69921875" customWidth="1"/>
    <col min="13829" max="13829" width="4.3984375" customWidth="1"/>
    <col min="14082" max="14082" width="3.09765625" customWidth="1"/>
    <col min="14083" max="14083" width="26.3984375" customWidth="1"/>
    <col min="14084" max="14084" width="21.69921875" customWidth="1"/>
    <col min="14085" max="14085" width="4.3984375" customWidth="1"/>
    <col min="14338" max="14338" width="3.09765625" customWidth="1"/>
    <col min="14339" max="14339" width="26.3984375" customWidth="1"/>
    <col min="14340" max="14340" width="21.69921875" customWidth="1"/>
    <col min="14341" max="14341" width="4.3984375" customWidth="1"/>
    <col min="14594" max="14594" width="3.09765625" customWidth="1"/>
    <col min="14595" max="14595" width="26.3984375" customWidth="1"/>
    <col min="14596" max="14596" width="21.69921875" customWidth="1"/>
    <col min="14597" max="14597" width="4.3984375" customWidth="1"/>
    <col min="14850" max="14850" width="3.09765625" customWidth="1"/>
    <col min="14851" max="14851" width="26.3984375" customWidth="1"/>
    <col min="14852" max="14852" width="21.69921875" customWidth="1"/>
    <col min="14853" max="14853" width="4.3984375" customWidth="1"/>
    <col min="15106" max="15106" width="3.09765625" customWidth="1"/>
    <col min="15107" max="15107" width="26.3984375" customWidth="1"/>
    <col min="15108" max="15108" width="21.69921875" customWidth="1"/>
    <col min="15109" max="15109" width="4.3984375" customWidth="1"/>
    <col min="15362" max="15362" width="3.09765625" customWidth="1"/>
    <col min="15363" max="15363" width="26.3984375" customWidth="1"/>
    <col min="15364" max="15364" width="21.69921875" customWidth="1"/>
    <col min="15365" max="15365" width="4.3984375" customWidth="1"/>
    <col min="15618" max="15618" width="3.09765625" customWidth="1"/>
    <col min="15619" max="15619" width="26.3984375" customWidth="1"/>
    <col min="15620" max="15620" width="21.69921875" customWidth="1"/>
    <col min="15621" max="15621" width="4.3984375" customWidth="1"/>
    <col min="15874" max="15874" width="3.09765625" customWidth="1"/>
    <col min="15875" max="15875" width="26.3984375" customWidth="1"/>
    <col min="15876" max="15876" width="21.69921875" customWidth="1"/>
    <col min="15877" max="15877" width="4.3984375" customWidth="1"/>
    <col min="16130" max="16130" width="3.09765625" customWidth="1"/>
    <col min="16131" max="16131" width="26.3984375" customWidth="1"/>
    <col min="16132" max="16132" width="21.69921875" customWidth="1"/>
    <col min="16133" max="16133" width="4.3984375" customWidth="1"/>
  </cols>
  <sheetData>
    <row r="1" spans="1:11" ht="17.399999999999999" x14ac:dyDescent="0.3">
      <c r="A1" s="1"/>
      <c r="B1" s="1"/>
      <c r="C1" s="2"/>
      <c r="D1" s="1"/>
      <c r="E1" s="1"/>
      <c r="F1" s="1"/>
      <c r="G1" s="1"/>
      <c r="H1" s="1"/>
      <c r="I1" s="1"/>
      <c r="J1" s="1"/>
      <c r="K1" s="1"/>
    </row>
    <row r="2" spans="1:11" x14ac:dyDescent="0.3">
      <c r="A2" s="1"/>
      <c r="B2" s="1"/>
      <c r="C2" s="1"/>
      <c r="D2" s="1"/>
      <c r="E2" s="1"/>
      <c r="F2" s="1"/>
      <c r="G2" s="1"/>
      <c r="H2" s="1"/>
      <c r="I2" s="1"/>
      <c r="J2" s="1"/>
      <c r="K2" s="1"/>
    </row>
    <row r="3" spans="1:11" x14ac:dyDescent="0.3">
      <c r="A3" s="1"/>
      <c r="B3" s="1"/>
      <c r="C3" s="1"/>
      <c r="D3" s="1"/>
      <c r="E3" s="1"/>
      <c r="F3" s="1"/>
      <c r="G3" s="1"/>
      <c r="H3" s="1"/>
      <c r="I3" s="1"/>
      <c r="J3" s="1"/>
      <c r="K3" s="1"/>
    </row>
    <row r="4" spans="1:11" ht="17.399999999999999" x14ac:dyDescent="0.3">
      <c r="A4" s="1"/>
      <c r="B4" s="1"/>
      <c r="C4" s="3" t="s">
        <v>16</v>
      </c>
      <c r="D4" s="1"/>
      <c r="E4" s="1"/>
      <c r="F4" s="1"/>
      <c r="G4" s="2"/>
      <c r="H4" s="1"/>
      <c r="I4" s="1"/>
      <c r="J4" s="1"/>
      <c r="K4" s="1"/>
    </row>
    <row r="5" spans="1:11" ht="18" thickBot="1" x14ac:dyDescent="0.35">
      <c r="A5" s="1"/>
      <c r="B5" s="1"/>
      <c r="C5" s="1"/>
      <c r="D5" s="1"/>
      <c r="E5" s="1"/>
      <c r="F5" s="1"/>
      <c r="G5" s="2"/>
      <c r="H5" s="1"/>
      <c r="I5" s="1"/>
      <c r="J5" s="1"/>
      <c r="K5" s="1"/>
    </row>
    <row r="6" spans="1:11" ht="17.399999999999999" x14ac:dyDescent="0.3">
      <c r="A6" s="1"/>
      <c r="B6" s="4"/>
      <c r="C6" s="5"/>
      <c r="D6" s="5"/>
      <c r="E6" s="6"/>
      <c r="F6" s="1"/>
      <c r="G6" s="40" t="s">
        <v>52</v>
      </c>
      <c r="H6" s="1"/>
      <c r="J6" s="1"/>
      <c r="K6" s="1"/>
    </row>
    <row r="7" spans="1:11" ht="17.399999999999999" x14ac:dyDescent="0.3">
      <c r="A7" s="1"/>
      <c r="B7" s="7"/>
      <c r="C7" s="8" t="s">
        <v>53</v>
      </c>
      <c r="D7" s="9">
        <v>20</v>
      </c>
      <c r="E7" s="54"/>
      <c r="F7" s="1"/>
      <c r="G7" s="40" t="s">
        <v>54</v>
      </c>
      <c r="H7" s="1"/>
      <c r="J7" s="1"/>
      <c r="K7" s="1"/>
    </row>
    <row r="8" spans="1:11" ht="17.399999999999999" x14ac:dyDescent="0.3">
      <c r="A8" s="1"/>
      <c r="B8" s="7"/>
      <c r="C8" s="8" t="s">
        <v>55</v>
      </c>
      <c r="D8" s="27">
        <v>250000</v>
      </c>
      <c r="E8" s="55"/>
      <c r="F8" s="1"/>
      <c r="G8" s="2" t="s">
        <v>56</v>
      </c>
      <c r="H8" s="1"/>
      <c r="J8" s="1"/>
      <c r="K8" s="1"/>
    </row>
    <row r="9" spans="1:11" ht="17.399999999999999" x14ac:dyDescent="0.3">
      <c r="A9" s="1"/>
      <c r="B9" s="7"/>
      <c r="C9" s="8" t="s">
        <v>57</v>
      </c>
      <c r="D9" s="29">
        <v>4.9000000000000002E-2</v>
      </c>
      <c r="E9" s="56"/>
      <c r="F9" s="1"/>
      <c r="G9" s="2"/>
      <c r="H9" s="1"/>
      <c r="J9" s="1"/>
      <c r="K9" s="1"/>
    </row>
    <row r="10" spans="1:11" x14ac:dyDescent="0.3">
      <c r="A10" s="1"/>
      <c r="B10" s="7"/>
      <c r="C10" s="8" t="s">
        <v>58</v>
      </c>
      <c r="D10" s="30">
        <v>120</v>
      </c>
      <c r="E10" s="56"/>
      <c r="F10" s="1"/>
      <c r="G10" s="1"/>
      <c r="H10" s="1"/>
      <c r="I10" s="1"/>
      <c r="J10" s="1"/>
      <c r="K10" s="1"/>
    </row>
    <row r="11" spans="1:11" ht="16.2" thickBot="1" x14ac:dyDescent="0.35">
      <c r="A11" s="1"/>
      <c r="B11" s="13"/>
      <c r="C11" s="14"/>
      <c r="D11" s="14"/>
      <c r="E11" s="15"/>
      <c r="F11" s="1"/>
      <c r="G11" s="1"/>
      <c r="H11" s="1"/>
      <c r="I11" s="1"/>
      <c r="J11" s="1"/>
      <c r="K11" s="1"/>
    </row>
    <row r="12" spans="1:11" x14ac:dyDescent="0.3">
      <c r="A12" s="1"/>
      <c r="B12" s="1"/>
      <c r="C12" s="1"/>
      <c r="D12" s="1"/>
      <c r="E12" s="1"/>
      <c r="F12" s="1"/>
      <c r="G12" s="1"/>
      <c r="H12" s="1"/>
      <c r="I12" s="1"/>
      <c r="J12" s="1"/>
      <c r="K12" s="1"/>
    </row>
    <row r="13" spans="1:11" x14ac:dyDescent="0.3">
      <c r="A13" s="1"/>
      <c r="B13" s="1"/>
      <c r="C13" s="3" t="s">
        <v>28</v>
      </c>
      <c r="D13" s="1"/>
      <c r="E13" s="1"/>
      <c r="F13" s="1"/>
      <c r="G13" s="1"/>
      <c r="H13" s="1"/>
      <c r="I13" s="1"/>
      <c r="J13" s="1"/>
      <c r="K13" s="1"/>
    </row>
    <row r="14" spans="1:11" ht="16.2" thickBot="1" x14ac:dyDescent="0.35">
      <c r="A14" s="1"/>
      <c r="B14" s="1"/>
      <c r="C14" s="1"/>
      <c r="D14" s="1"/>
      <c r="E14" s="1"/>
      <c r="F14" s="1"/>
      <c r="G14" s="1"/>
      <c r="H14" s="1"/>
      <c r="I14" s="1"/>
      <c r="J14" s="1"/>
      <c r="K14" s="1"/>
    </row>
    <row r="15" spans="1:11" x14ac:dyDescent="0.3">
      <c r="A15" s="1"/>
      <c r="B15" s="16"/>
      <c r="C15" s="17"/>
      <c r="D15" s="17"/>
      <c r="E15" s="18"/>
      <c r="F15" s="1"/>
      <c r="G15" s="1"/>
      <c r="H15" s="1"/>
      <c r="I15" s="1"/>
      <c r="J15" s="1"/>
      <c r="K15" s="1"/>
    </row>
    <row r="16" spans="1:11" x14ac:dyDescent="0.3">
      <c r="A16" s="1"/>
      <c r="B16" s="19"/>
      <c r="C16" s="20" t="s">
        <v>59</v>
      </c>
      <c r="D16" s="57">
        <f>IPMT($D$9/12,$D$10,$D$7*12,-$D$8)</f>
        <v>636.86560652877563</v>
      </c>
      <c r="E16" s="53" t="s">
        <v>116</v>
      </c>
      <c r="F16" s="32" t="s">
        <v>4</v>
      </c>
      <c r="G16" s="1"/>
      <c r="H16" s="1"/>
      <c r="I16" s="1"/>
      <c r="J16" s="1"/>
      <c r="K16" s="1"/>
    </row>
    <row r="17" spans="1:11" x14ac:dyDescent="0.3">
      <c r="A17" s="1"/>
      <c r="B17" s="19"/>
      <c r="C17" s="20"/>
      <c r="D17" s="52"/>
      <c r="E17" s="53"/>
      <c r="F17" s="1"/>
      <c r="G17" s="1"/>
      <c r="H17" s="1"/>
      <c r="I17" s="1"/>
      <c r="J17" s="1"/>
      <c r="K17" s="1"/>
    </row>
    <row r="18" spans="1:11" x14ac:dyDescent="0.3">
      <c r="A18" s="1"/>
      <c r="B18" s="19"/>
      <c r="C18" s="20" t="s">
        <v>60</v>
      </c>
      <c r="D18" s="57">
        <f>PPMT($D$9/12,$D$10,$D$7*12,-$D$8)</f>
        <v>999.24451591369007</v>
      </c>
      <c r="E18" s="53" t="s">
        <v>117</v>
      </c>
      <c r="F18" s="32" t="s">
        <v>5</v>
      </c>
      <c r="G18" s="1"/>
      <c r="H18" s="1"/>
      <c r="I18" s="1"/>
      <c r="J18" s="1"/>
      <c r="K18" s="1"/>
    </row>
    <row r="19" spans="1:11" ht="16.2" thickBot="1" x14ac:dyDescent="0.35">
      <c r="A19" s="1"/>
      <c r="B19" s="24"/>
      <c r="C19" s="25"/>
      <c r="D19" s="25"/>
      <c r="E19" s="26"/>
      <c r="F19" s="1"/>
      <c r="G19" s="1"/>
      <c r="H19" s="1"/>
      <c r="I19" s="1"/>
      <c r="J19" s="1"/>
      <c r="K19" s="1"/>
    </row>
    <row r="20" spans="1:11" x14ac:dyDescent="0.3">
      <c r="A20" s="1"/>
      <c r="B20" s="1"/>
      <c r="C20" s="1"/>
      <c r="D20" s="1"/>
      <c r="E20" s="1"/>
      <c r="F20" s="1"/>
      <c r="G20" s="1"/>
      <c r="H20" s="1"/>
      <c r="I20" s="1"/>
      <c r="J20" s="1"/>
      <c r="K20" s="1"/>
    </row>
    <row r="21" spans="1:11" x14ac:dyDescent="0.3">
      <c r="A21" s="1"/>
      <c r="B21" s="1"/>
      <c r="C21" s="1"/>
      <c r="D21" s="1"/>
      <c r="E21" s="1"/>
      <c r="F21" s="1"/>
      <c r="G21" s="1"/>
      <c r="H21" s="1"/>
      <c r="I21" s="1"/>
      <c r="J21" s="1"/>
      <c r="K21" s="1"/>
    </row>
    <row r="22" spans="1:11" x14ac:dyDescent="0.3">
      <c r="A22" s="1"/>
      <c r="B22" s="1"/>
      <c r="C22" s="1"/>
      <c r="D22" s="1"/>
      <c r="E22" s="1"/>
      <c r="F22" s="1"/>
      <c r="G22" s="1"/>
      <c r="H22" s="1"/>
      <c r="I22" s="1"/>
      <c r="J22" s="1"/>
      <c r="K22" s="1"/>
    </row>
    <row r="23" spans="1:11" x14ac:dyDescent="0.3">
      <c r="A23" s="1"/>
      <c r="B23" s="1"/>
      <c r="C23" s="1"/>
      <c r="D23" s="1"/>
      <c r="E23" s="1"/>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1"/>
      <c r="C50" s="1"/>
      <c r="D50" s="1"/>
      <c r="E50" s="1"/>
      <c r="F50" s="1"/>
      <c r="G50" s="1"/>
      <c r="H50" s="1"/>
      <c r="I50" s="1"/>
      <c r="J50" s="1"/>
      <c r="K50" s="1"/>
    </row>
    <row r="51" spans="1:11" x14ac:dyDescent="0.3">
      <c r="A51" s="1"/>
      <c r="B51" s="1"/>
      <c r="C51" s="1"/>
      <c r="D51" s="1"/>
      <c r="E51" s="1"/>
      <c r="F51" s="1"/>
      <c r="G51" s="1"/>
      <c r="H51" s="1"/>
      <c r="I51" s="1"/>
      <c r="J51" s="1"/>
      <c r="K51" s="1"/>
    </row>
    <row r="52" spans="1:11" x14ac:dyDescent="0.3">
      <c r="A52" s="1"/>
      <c r="B52" s="1"/>
      <c r="C52" s="1"/>
      <c r="D52" s="1"/>
      <c r="E52" s="1"/>
      <c r="F52" s="1"/>
      <c r="G52" s="1"/>
      <c r="H52" s="1"/>
      <c r="I52" s="1"/>
      <c r="J52" s="1"/>
      <c r="K52" s="1"/>
    </row>
    <row r="53" spans="1:11" x14ac:dyDescent="0.3">
      <c r="A53" s="1"/>
      <c r="B53" s="1"/>
      <c r="C53" s="1"/>
      <c r="D53" s="1"/>
      <c r="E53" s="1"/>
      <c r="F53" s="1"/>
      <c r="G53" s="1"/>
      <c r="H53" s="1"/>
      <c r="I53" s="1"/>
      <c r="J53" s="1"/>
      <c r="K53" s="1"/>
    </row>
    <row r="54" spans="1:11" x14ac:dyDescent="0.3">
      <c r="A54" s="1"/>
      <c r="B54" s="1"/>
      <c r="C54" s="1"/>
      <c r="D54" s="1"/>
      <c r="E54" s="1"/>
      <c r="F54" s="1"/>
      <c r="G54" s="1"/>
      <c r="H54" s="1"/>
      <c r="I54" s="1"/>
      <c r="J54" s="1"/>
      <c r="K54" s="1"/>
    </row>
    <row r="55" spans="1:11" x14ac:dyDescent="0.3">
      <c r="A55" s="1"/>
      <c r="B55" s="1"/>
      <c r="C55" s="1"/>
      <c r="D55" s="1"/>
      <c r="E55" s="1"/>
      <c r="F55" s="1"/>
      <c r="G55" s="1"/>
      <c r="H55" s="1"/>
      <c r="I55" s="1"/>
      <c r="J55" s="1"/>
      <c r="K55" s="1"/>
    </row>
    <row r="56" spans="1:11" x14ac:dyDescent="0.3">
      <c r="A56" s="1"/>
      <c r="B56" s="1"/>
      <c r="C56" s="1"/>
      <c r="D56" s="1"/>
      <c r="E56" s="1"/>
      <c r="F56" s="1"/>
      <c r="G56" s="1"/>
      <c r="H56" s="1"/>
      <c r="I56" s="1"/>
      <c r="J56" s="1"/>
      <c r="K56" s="1"/>
    </row>
    <row r="57" spans="1:11" x14ac:dyDescent="0.3">
      <c r="A57" s="1"/>
      <c r="B57" s="1"/>
      <c r="C57" s="1"/>
      <c r="D57" s="1"/>
      <c r="E57" s="1"/>
      <c r="F57" s="1"/>
      <c r="G57" s="1"/>
      <c r="H57" s="1"/>
      <c r="I57" s="1"/>
      <c r="J57" s="1"/>
      <c r="K57" s="1"/>
    </row>
    <row r="58" spans="1:11" x14ac:dyDescent="0.3">
      <c r="A58" s="1"/>
      <c r="B58" s="1"/>
      <c r="C58" s="1"/>
      <c r="D58" s="1"/>
      <c r="E58" s="1"/>
      <c r="F58" s="1"/>
      <c r="G58" s="1"/>
      <c r="H58" s="1"/>
      <c r="I58" s="1"/>
      <c r="J58" s="1"/>
      <c r="K58" s="1"/>
    </row>
    <row r="59" spans="1:11" x14ac:dyDescent="0.3">
      <c r="A59" s="1"/>
      <c r="B59" s="1"/>
      <c r="C59" s="1"/>
      <c r="D59" s="1"/>
      <c r="E59" s="1"/>
      <c r="F59" s="1"/>
      <c r="G59" s="1"/>
      <c r="H59" s="1"/>
      <c r="I59" s="1"/>
      <c r="J59" s="1"/>
      <c r="K59" s="1"/>
    </row>
    <row r="60" spans="1:11" x14ac:dyDescent="0.3">
      <c r="A60" s="1"/>
      <c r="B60" s="1"/>
      <c r="C60" s="1"/>
      <c r="D60" s="1"/>
      <c r="E60" s="1"/>
      <c r="F60" s="1"/>
      <c r="G60" s="1"/>
      <c r="H60" s="1"/>
      <c r="I60" s="1"/>
      <c r="J60" s="1"/>
      <c r="K60" s="1"/>
    </row>
    <row r="61" spans="1:11" x14ac:dyDescent="0.3">
      <c r="A61" s="1"/>
      <c r="B61" s="1"/>
      <c r="C61" s="1"/>
      <c r="D61" s="1"/>
      <c r="E61" s="1"/>
      <c r="F61" s="1"/>
      <c r="G61" s="1"/>
      <c r="H61" s="1"/>
      <c r="I61" s="1"/>
      <c r="J61" s="1"/>
      <c r="K61" s="1"/>
    </row>
    <row r="62" spans="1:11" x14ac:dyDescent="0.3">
      <c r="A62" s="1"/>
      <c r="B62" s="1"/>
      <c r="C62" s="1"/>
      <c r="D62" s="1"/>
      <c r="E62" s="1"/>
      <c r="F62" s="1"/>
      <c r="G62" s="1"/>
      <c r="H62" s="1"/>
      <c r="I62" s="1"/>
      <c r="J62" s="1"/>
      <c r="K62" s="1"/>
    </row>
    <row r="63" spans="1:11" x14ac:dyDescent="0.3">
      <c r="A63" s="1"/>
      <c r="B63" s="1"/>
      <c r="C63" s="1"/>
      <c r="D63" s="1"/>
      <c r="E63" s="1"/>
      <c r="F63" s="1"/>
      <c r="G63" s="1"/>
      <c r="H63" s="1"/>
      <c r="I63" s="1"/>
      <c r="J63" s="1"/>
      <c r="K63" s="1"/>
    </row>
    <row r="64" spans="1:11" x14ac:dyDescent="0.3">
      <c r="A64" s="1"/>
      <c r="B64" s="1"/>
      <c r="C64" s="1"/>
      <c r="D64" s="1"/>
      <c r="E64" s="1"/>
      <c r="F64" s="1"/>
      <c r="G64" s="1"/>
      <c r="H64" s="1"/>
      <c r="I64" s="1"/>
      <c r="J64" s="1"/>
      <c r="K64" s="1"/>
    </row>
    <row r="65" spans="1:11" x14ac:dyDescent="0.3">
      <c r="A65" s="1"/>
      <c r="B65" s="1"/>
      <c r="C65" s="1"/>
      <c r="D65" s="1"/>
      <c r="E65" s="1"/>
      <c r="F65" s="1"/>
      <c r="G65" s="1"/>
      <c r="H65" s="1"/>
      <c r="I65" s="1"/>
      <c r="J65" s="1"/>
      <c r="K65" s="1"/>
    </row>
    <row r="66" spans="1:11" x14ac:dyDescent="0.3">
      <c r="A66" s="1"/>
      <c r="B66" s="1"/>
      <c r="C66" s="1"/>
      <c r="D66" s="1"/>
      <c r="E66" s="1"/>
      <c r="F66" s="1"/>
      <c r="G66" s="1"/>
      <c r="H66" s="1"/>
      <c r="I66" s="1"/>
      <c r="J66" s="1"/>
      <c r="K66" s="1"/>
    </row>
    <row r="67" spans="1:11" x14ac:dyDescent="0.3">
      <c r="A67" s="1"/>
      <c r="B67" s="1"/>
      <c r="C67" s="1"/>
      <c r="D67" s="1"/>
      <c r="E67" s="1"/>
      <c r="F67" s="1"/>
      <c r="G67" s="1"/>
      <c r="H67" s="1"/>
      <c r="I67" s="1"/>
      <c r="J67" s="1"/>
      <c r="K67" s="1"/>
    </row>
    <row r="68" spans="1:11" x14ac:dyDescent="0.3">
      <c r="A68" s="1"/>
      <c r="B68" s="1"/>
      <c r="C68" s="1"/>
      <c r="D68" s="1"/>
      <c r="E68" s="1"/>
      <c r="F68" s="1"/>
      <c r="G68" s="1"/>
      <c r="H68" s="1"/>
      <c r="I68" s="1"/>
      <c r="J68" s="1"/>
      <c r="K68" s="1"/>
    </row>
    <row r="69" spans="1:11" x14ac:dyDescent="0.3">
      <c r="A69" s="1"/>
      <c r="B69" s="1"/>
      <c r="C69" s="1"/>
      <c r="D69" s="1"/>
      <c r="E69" s="1"/>
      <c r="F69" s="1"/>
      <c r="G69" s="1"/>
      <c r="H69" s="1"/>
      <c r="I69" s="1"/>
      <c r="J69" s="1"/>
      <c r="K69" s="1"/>
    </row>
    <row r="70" spans="1:11" x14ac:dyDescent="0.3">
      <c r="A70" s="1"/>
      <c r="B70" s="1"/>
      <c r="C70" s="1"/>
      <c r="D70" s="1"/>
      <c r="E70" s="1"/>
      <c r="F70" s="1"/>
      <c r="G70" s="1"/>
      <c r="H70" s="1"/>
      <c r="I70" s="1"/>
      <c r="J70" s="1"/>
      <c r="K70" s="1"/>
    </row>
    <row r="71" spans="1:11" x14ac:dyDescent="0.3">
      <c r="A71" s="1"/>
      <c r="B71" s="1"/>
      <c r="C71" s="1"/>
      <c r="D71" s="1"/>
      <c r="E71" s="1"/>
      <c r="F71" s="1"/>
      <c r="G71" s="1"/>
      <c r="H71" s="1"/>
      <c r="I71" s="1"/>
      <c r="J71" s="1"/>
      <c r="K71" s="1"/>
    </row>
    <row r="72" spans="1:11" x14ac:dyDescent="0.3">
      <c r="A72" s="1"/>
      <c r="B72" s="1"/>
      <c r="C72" s="1"/>
      <c r="D72" s="1"/>
      <c r="E72" s="1"/>
      <c r="F72" s="1"/>
      <c r="G72" s="1"/>
      <c r="H72" s="1"/>
      <c r="I72" s="1"/>
      <c r="J72" s="1"/>
      <c r="K72" s="1"/>
    </row>
    <row r="73" spans="1:11" x14ac:dyDescent="0.3">
      <c r="A73" s="1"/>
      <c r="B73" s="1"/>
      <c r="C73" s="1"/>
      <c r="D73" s="1"/>
      <c r="E73" s="1"/>
      <c r="F73" s="1"/>
      <c r="G73" s="1"/>
      <c r="H73" s="1"/>
      <c r="I73" s="1"/>
      <c r="J73" s="1"/>
      <c r="K73" s="1"/>
    </row>
    <row r="74" spans="1:11" x14ac:dyDescent="0.3">
      <c r="A74" s="1"/>
      <c r="B74" s="1"/>
      <c r="C74" s="1"/>
      <c r="D74" s="1"/>
      <c r="E74" s="1"/>
      <c r="F74" s="1"/>
      <c r="G74" s="1"/>
      <c r="H74" s="1"/>
      <c r="I74" s="1"/>
      <c r="J74" s="1"/>
      <c r="K74" s="1"/>
    </row>
    <row r="75" spans="1:11" x14ac:dyDescent="0.3">
      <c r="A75" s="1"/>
      <c r="B75" s="1"/>
      <c r="C75" s="1"/>
      <c r="D75" s="1"/>
      <c r="E75" s="1"/>
      <c r="F75" s="1"/>
      <c r="G75" s="1"/>
      <c r="H75" s="1"/>
      <c r="I75" s="1"/>
      <c r="J75" s="1"/>
      <c r="K75" s="1"/>
    </row>
    <row r="76" spans="1:11" x14ac:dyDescent="0.3">
      <c r="A76" s="1"/>
      <c r="B76" s="1"/>
      <c r="C76" s="1"/>
      <c r="D76" s="1"/>
      <c r="E76" s="1"/>
      <c r="F76" s="1"/>
      <c r="G76" s="1"/>
      <c r="H76" s="1"/>
      <c r="I76" s="1"/>
      <c r="J76" s="1"/>
      <c r="K76" s="1"/>
    </row>
    <row r="77" spans="1:11" x14ac:dyDescent="0.3">
      <c r="A77" s="1"/>
      <c r="B77" s="1"/>
      <c r="C77" s="1"/>
      <c r="D77" s="1"/>
      <c r="E77" s="1"/>
      <c r="F77" s="1"/>
      <c r="G77" s="1"/>
      <c r="H77" s="1"/>
      <c r="I77" s="1"/>
      <c r="J77" s="1"/>
      <c r="K77" s="1"/>
    </row>
    <row r="78" spans="1:11" x14ac:dyDescent="0.3">
      <c r="A78" s="1"/>
      <c r="B78" s="1"/>
      <c r="C78" s="1"/>
      <c r="D78" s="1"/>
      <c r="E78" s="1"/>
      <c r="F78" s="1"/>
      <c r="G78" s="1"/>
      <c r="H78" s="1"/>
      <c r="I78" s="1"/>
      <c r="J78" s="1"/>
      <c r="K78" s="1"/>
    </row>
    <row r="79" spans="1:11" x14ac:dyDescent="0.3">
      <c r="A79" s="1"/>
      <c r="B79" s="1"/>
      <c r="C79" s="1"/>
      <c r="D79" s="1"/>
      <c r="E79" s="1"/>
      <c r="F79" s="1"/>
      <c r="G79" s="1"/>
      <c r="H79" s="1"/>
      <c r="I79" s="1"/>
      <c r="J79" s="1"/>
      <c r="K79" s="1"/>
    </row>
    <row r="80" spans="1:11" x14ac:dyDescent="0.3">
      <c r="A80" s="1"/>
      <c r="B80" s="1"/>
      <c r="C80" s="1"/>
      <c r="D80" s="1"/>
      <c r="E80" s="1"/>
      <c r="F80" s="1"/>
      <c r="G80" s="1"/>
      <c r="H80" s="1"/>
      <c r="I80" s="1"/>
      <c r="J80" s="1"/>
      <c r="K80" s="1"/>
    </row>
    <row r="81" spans="1:11" x14ac:dyDescent="0.3">
      <c r="A81" s="1"/>
      <c r="B81" s="1"/>
      <c r="C81" s="1"/>
      <c r="D81" s="1"/>
      <c r="E81" s="1"/>
      <c r="F81" s="1"/>
      <c r="G81" s="1"/>
      <c r="H81" s="1"/>
      <c r="I81" s="1"/>
      <c r="J81" s="1"/>
      <c r="K81" s="1"/>
    </row>
    <row r="82" spans="1:11" x14ac:dyDescent="0.3">
      <c r="A82" s="1"/>
      <c r="B82" s="1"/>
      <c r="C82" s="1"/>
      <c r="D82" s="1"/>
      <c r="E82" s="1"/>
      <c r="F82" s="1"/>
      <c r="G82" s="1"/>
      <c r="H82" s="1"/>
      <c r="I82" s="1"/>
      <c r="J82" s="1"/>
      <c r="K82" s="1"/>
    </row>
    <row r="83" spans="1:11" x14ac:dyDescent="0.3">
      <c r="A83" s="1"/>
      <c r="B83" s="1"/>
      <c r="C83" s="1"/>
      <c r="D83" s="1"/>
      <c r="E83" s="1"/>
      <c r="F83" s="1"/>
      <c r="G83" s="1"/>
      <c r="H83" s="1"/>
      <c r="I83" s="1"/>
      <c r="J83" s="1"/>
      <c r="K83" s="1"/>
    </row>
    <row r="84" spans="1:11" x14ac:dyDescent="0.3">
      <c r="A84" s="1"/>
      <c r="B84" s="1"/>
      <c r="C84" s="1"/>
      <c r="D84" s="1"/>
      <c r="E84" s="1"/>
      <c r="F84" s="1"/>
      <c r="G84" s="1"/>
      <c r="H84" s="1"/>
      <c r="I84" s="1"/>
      <c r="J84" s="1"/>
      <c r="K84" s="1"/>
    </row>
    <row r="85" spans="1:11" x14ac:dyDescent="0.3">
      <c r="A85" s="1"/>
      <c r="B85" s="1"/>
      <c r="C85" s="1"/>
      <c r="D85" s="1"/>
      <c r="E85" s="1"/>
      <c r="F85" s="1"/>
      <c r="G85" s="1"/>
      <c r="H85" s="1"/>
      <c r="I85" s="1"/>
      <c r="J85" s="1"/>
      <c r="K85" s="1"/>
    </row>
    <row r="86" spans="1:11" x14ac:dyDescent="0.3">
      <c r="A86" s="1"/>
      <c r="B86" s="1"/>
      <c r="C86" s="1"/>
      <c r="D86" s="1"/>
      <c r="E86" s="1"/>
      <c r="F86" s="1"/>
      <c r="G86" s="1"/>
      <c r="H86" s="1"/>
      <c r="I86" s="1"/>
      <c r="J86" s="1"/>
      <c r="K86" s="1"/>
    </row>
    <row r="87" spans="1:11" x14ac:dyDescent="0.3">
      <c r="A87" s="1"/>
      <c r="B87" s="1"/>
      <c r="C87" s="1"/>
      <c r="D87" s="1"/>
      <c r="E87" s="1"/>
      <c r="F87" s="1"/>
      <c r="G87" s="1"/>
      <c r="H87" s="1"/>
      <c r="I87" s="1"/>
      <c r="J87" s="1"/>
      <c r="K87" s="1"/>
    </row>
    <row r="88" spans="1:11" x14ac:dyDescent="0.3">
      <c r="A88" s="1"/>
      <c r="B88" s="1"/>
      <c r="C88" s="1"/>
      <c r="D88" s="1"/>
      <c r="E88" s="1"/>
      <c r="F88" s="1"/>
      <c r="G88" s="1"/>
      <c r="H88" s="1"/>
      <c r="I88" s="1"/>
      <c r="J88" s="1"/>
      <c r="K88" s="1"/>
    </row>
    <row r="89" spans="1:11" x14ac:dyDescent="0.3">
      <c r="A89" s="1"/>
      <c r="B89" s="1"/>
      <c r="C89" s="1"/>
      <c r="D89" s="1"/>
      <c r="E89" s="1"/>
      <c r="F89" s="1"/>
      <c r="G89" s="1"/>
      <c r="H89" s="1"/>
      <c r="I89" s="1"/>
      <c r="J89" s="1"/>
      <c r="K89" s="1"/>
    </row>
    <row r="90" spans="1:11" x14ac:dyDescent="0.3">
      <c r="A90" s="1"/>
      <c r="B90" s="1"/>
      <c r="C90" s="1"/>
      <c r="D90" s="1"/>
      <c r="E90" s="1"/>
      <c r="F90" s="1"/>
      <c r="G90" s="1"/>
      <c r="H90" s="1"/>
      <c r="I90" s="1"/>
      <c r="J90" s="1"/>
      <c r="K90" s="1"/>
    </row>
    <row r="91" spans="1:11" x14ac:dyDescent="0.3">
      <c r="A91" s="1"/>
      <c r="B91" s="1"/>
      <c r="C91" s="1"/>
      <c r="D91" s="1"/>
      <c r="E91" s="1"/>
      <c r="F91" s="1"/>
      <c r="G91" s="1"/>
      <c r="H91" s="1"/>
      <c r="I91" s="1"/>
      <c r="J91" s="1"/>
      <c r="K91" s="1"/>
    </row>
    <row r="92" spans="1:11" x14ac:dyDescent="0.3">
      <c r="A92" s="1"/>
      <c r="B92" s="1"/>
      <c r="C92" s="1"/>
      <c r="D92" s="1"/>
      <c r="E92" s="1"/>
      <c r="F92" s="1"/>
      <c r="G92" s="1"/>
      <c r="H92" s="1"/>
      <c r="I92" s="1"/>
      <c r="J92" s="1"/>
      <c r="K92" s="1"/>
    </row>
    <row r="93" spans="1:11" x14ac:dyDescent="0.3">
      <c r="A93" s="1"/>
      <c r="B93" s="1"/>
      <c r="C93" s="1"/>
      <c r="D93" s="1"/>
      <c r="E93" s="1"/>
      <c r="F93" s="1"/>
      <c r="G93" s="1"/>
      <c r="H93" s="1"/>
      <c r="I93" s="1"/>
      <c r="J93" s="1"/>
      <c r="K93" s="1"/>
    </row>
    <row r="94" spans="1:11" x14ac:dyDescent="0.3">
      <c r="A94" s="1"/>
      <c r="B94" s="1"/>
      <c r="C94" s="1"/>
      <c r="D94" s="1"/>
      <c r="E94" s="1"/>
      <c r="F94" s="1"/>
      <c r="G94" s="1"/>
      <c r="H94" s="1"/>
      <c r="I94" s="1"/>
      <c r="J94" s="1"/>
      <c r="K94" s="1"/>
    </row>
    <row r="95" spans="1:11" x14ac:dyDescent="0.3">
      <c r="A95" s="1"/>
      <c r="B95" s="1"/>
      <c r="C95" s="1"/>
      <c r="D95" s="1"/>
      <c r="E95" s="1"/>
      <c r="F95" s="1"/>
      <c r="G95" s="1"/>
      <c r="H95" s="1"/>
      <c r="I95" s="1"/>
      <c r="J95" s="1"/>
      <c r="K95" s="1"/>
    </row>
    <row r="96" spans="1:11" x14ac:dyDescent="0.3">
      <c r="A96" s="1"/>
      <c r="B96" s="1"/>
      <c r="C96" s="1"/>
      <c r="D96" s="1"/>
      <c r="E96" s="1"/>
      <c r="F96" s="1"/>
      <c r="G96" s="1"/>
      <c r="H96" s="1"/>
      <c r="I96" s="1"/>
      <c r="J96" s="1"/>
      <c r="K96" s="1"/>
    </row>
    <row r="97" spans="1:11" x14ac:dyDescent="0.3">
      <c r="A97" s="1"/>
      <c r="B97" s="1"/>
      <c r="C97" s="1"/>
      <c r="D97" s="1"/>
      <c r="E97" s="1"/>
      <c r="F97" s="1"/>
      <c r="G97" s="1"/>
      <c r="H97" s="1"/>
      <c r="I97" s="1"/>
      <c r="J97" s="1"/>
      <c r="K97" s="1"/>
    </row>
    <row r="98" spans="1:11" x14ac:dyDescent="0.3">
      <c r="A98" s="1"/>
      <c r="B98" s="1"/>
      <c r="C98" s="1"/>
      <c r="D98" s="1"/>
      <c r="E98" s="1"/>
      <c r="F98" s="1"/>
      <c r="G98" s="1"/>
      <c r="H98" s="1"/>
      <c r="I98" s="1"/>
      <c r="J98" s="1"/>
      <c r="K98" s="1"/>
    </row>
    <row r="99" spans="1:11" x14ac:dyDescent="0.3">
      <c r="A99" s="1"/>
      <c r="B99" s="1"/>
      <c r="C99" s="1"/>
      <c r="D99" s="1"/>
      <c r="E99" s="1"/>
      <c r="F99" s="1"/>
      <c r="G99" s="1"/>
      <c r="H99" s="1"/>
      <c r="I99" s="1"/>
      <c r="J99" s="1"/>
      <c r="K99" s="1"/>
    </row>
    <row r="100" spans="1:11" x14ac:dyDescent="0.3">
      <c r="A100" s="1"/>
      <c r="B100" s="1"/>
      <c r="C100" s="1"/>
      <c r="D100" s="1"/>
      <c r="E100" s="1"/>
      <c r="F100" s="1"/>
      <c r="G100" s="1"/>
      <c r="H100" s="1"/>
      <c r="I100" s="1"/>
      <c r="J100" s="1"/>
      <c r="K100" s="1"/>
    </row>
    <row r="101" spans="1:11" x14ac:dyDescent="0.3">
      <c r="A101" s="1"/>
      <c r="B101" s="1"/>
      <c r="C101" s="1"/>
      <c r="D101" s="1"/>
      <c r="E101" s="1"/>
      <c r="F101" s="1"/>
      <c r="G101" s="1"/>
      <c r="H101" s="1"/>
      <c r="I101" s="1"/>
      <c r="J101" s="1"/>
      <c r="K101" s="1"/>
    </row>
    <row r="102" spans="1:11" x14ac:dyDescent="0.3">
      <c r="A102" s="1"/>
      <c r="B102" s="1"/>
      <c r="C102" s="1"/>
      <c r="D102" s="1"/>
      <c r="E102" s="1"/>
      <c r="F102" s="1"/>
      <c r="G102" s="1"/>
      <c r="H102" s="1"/>
      <c r="I102" s="1"/>
      <c r="J102" s="1"/>
      <c r="K102" s="1"/>
    </row>
    <row r="103" spans="1:11" x14ac:dyDescent="0.3">
      <c r="A103" s="1"/>
      <c r="B103" s="1"/>
      <c r="C103" s="1"/>
      <c r="D103" s="1"/>
      <c r="E103" s="1"/>
      <c r="F103" s="1"/>
      <c r="G103" s="1"/>
      <c r="H103" s="1"/>
      <c r="I103" s="1"/>
      <c r="J103" s="1"/>
      <c r="K103" s="1"/>
    </row>
    <row r="104" spans="1:11" x14ac:dyDescent="0.3">
      <c r="A104" s="1"/>
      <c r="B104" s="1"/>
      <c r="C104" s="1"/>
      <c r="D104" s="1"/>
      <c r="E104" s="1"/>
      <c r="F104" s="1"/>
      <c r="G104" s="1"/>
      <c r="H104" s="1"/>
      <c r="I104" s="1"/>
      <c r="J104" s="1"/>
      <c r="K104" s="1"/>
    </row>
    <row r="105" spans="1:11" x14ac:dyDescent="0.3">
      <c r="A105" s="1"/>
      <c r="B105" s="1"/>
      <c r="C105" s="1"/>
      <c r="D105" s="1"/>
      <c r="E105" s="1"/>
      <c r="F105" s="1"/>
      <c r="G105" s="1"/>
      <c r="H105" s="1"/>
      <c r="I105" s="1"/>
      <c r="J105" s="1"/>
      <c r="K105" s="1"/>
    </row>
    <row r="106" spans="1:11" x14ac:dyDescent="0.3">
      <c r="A106" s="1"/>
      <c r="B106" s="1"/>
      <c r="C106" s="1"/>
      <c r="D106" s="1"/>
      <c r="E106" s="1"/>
      <c r="F106" s="1"/>
      <c r="G106" s="1"/>
      <c r="H106" s="1"/>
      <c r="I106" s="1"/>
      <c r="J106" s="1"/>
      <c r="K106" s="1"/>
    </row>
    <row r="107" spans="1:11" x14ac:dyDescent="0.3">
      <c r="A107" s="1"/>
      <c r="B107" s="1"/>
      <c r="C107" s="1"/>
      <c r="D107" s="1"/>
      <c r="E107" s="1"/>
      <c r="F107" s="1"/>
      <c r="G107" s="1"/>
      <c r="H107" s="1"/>
      <c r="I107" s="1"/>
      <c r="J107" s="1"/>
      <c r="K107" s="1"/>
    </row>
    <row r="108" spans="1:11" x14ac:dyDescent="0.3">
      <c r="A108" s="1"/>
      <c r="B108" s="1"/>
      <c r="C108" s="1"/>
      <c r="D108" s="1"/>
      <c r="E108" s="1"/>
      <c r="F108" s="1"/>
      <c r="G108" s="1"/>
      <c r="H108" s="1"/>
      <c r="I108" s="1"/>
      <c r="J108" s="1"/>
      <c r="K108" s="1"/>
    </row>
    <row r="109" spans="1:11" x14ac:dyDescent="0.3">
      <c r="A109" s="1"/>
      <c r="B109" s="1"/>
      <c r="C109" s="1"/>
      <c r="D109" s="1"/>
      <c r="E109" s="1"/>
      <c r="F109" s="1"/>
      <c r="G109" s="1"/>
      <c r="H109" s="1"/>
      <c r="I109" s="1"/>
      <c r="J109" s="1"/>
      <c r="K109" s="1"/>
    </row>
    <row r="110" spans="1:11" x14ac:dyDescent="0.3">
      <c r="A110" s="1"/>
      <c r="B110" s="1"/>
      <c r="C110" s="1"/>
      <c r="D110" s="1"/>
      <c r="E110" s="1"/>
      <c r="F110" s="1"/>
      <c r="G110" s="1"/>
      <c r="H110" s="1"/>
      <c r="I110" s="1"/>
      <c r="J110" s="1"/>
      <c r="K110" s="1"/>
    </row>
    <row r="111" spans="1:11" x14ac:dyDescent="0.3">
      <c r="A111" s="1"/>
      <c r="B111" s="1"/>
      <c r="C111" s="1"/>
      <c r="D111" s="1"/>
      <c r="E111" s="1"/>
      <c r="F111" s="1"/>
      <c r="G111" s="1"/>
      <c r="H111" s="1"/>
      <c r="I111" s="1"/>
      <c r="J111" s="1"/>
      <c r="K111" s="1"/>
    </row>
    <row r="112" spans="1:11" x14ac:dyDescent="0.3">
      <c r="A112" s="1"/>
      <c r="B112" s="1"/>
      <c r="C112" s="1"/>
      <c r="D112" s="1"/>
      <c r="E112" s="1"/>
      <c r="F112" s="1"/>
      <c r="G112" s="1"/>
      <c r="H112" s="1"/>
      <c r="I112" s="1"/>
      <c r="J112" s="1"/>
      <c r="K11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G25"/>
  <sheetViews>
    <sheetView tabSelected="1" topLeftCell="A10" workbookViewId="0">
      <selection activeCell="C23" sqref="C23"/>
    </sheetView>
  </sheetViews>
  <sheetFormatPr defaultColWidth="11" defaultRowHeight="15.6" x14ac:dyDescent="0.3"/>
  <cols>
    <col min="3" max="3" width="43.796875" bestFit="1" customWidth="1"/>
    <col min="4" max="4" width="22.796875" customWidth="1"/>
    <col min="5" max="5" width="28.69921875" bestFit="1" customWidth="1"/>
    <col min="7" max="7" width="114.796875" bestFit="1" customWidth="1"/>
    <col min="8" max="8" width="13.796875" customWidth="1"/>
  </cols>
  <sheetData>
    <row r="3" spans="2:7" x14ac:dyDescent="0.3">
      <c r="B3" s="1"/>
      <c r="C3" s="3" t="s">
        <v>16</v>
      </c>
      <c r="D3" s="1"/>
      <c r="E3" s="1"/>
      <c r="F3" s="1"/>
      <c r="G3" s="1"/>
    </row>
    <row r="4" spans="2:7" ht="16.2" thickBot="1" x14ac:dyDescent="0.35">
      <c r="B4" s="1"/>
      <c r="C4" s="1"/>
      <c r="D4" s="1"/>
      <c r="E4" s="1"/>
      <c r="F4" s="1"/>
      <c r="G4" s="1"/>
    </row>
    <row r="5" spans="2:7" ht="17.399999999999999" x14ac:dyDescent="0.3">
      <c r="B5" s="4"/>
      <c r="C5" s="5"/>
      <c r="D5" s="5"/>
      <c r="E5" s="6"/>
      <c r="F5" s="1"/>
      <c r="G5" s="40" t="s">
        <v>61</v>
      </c>
    </row>
    <row r="6" spans="2:7" ht="17.399999999999999" x14ac:dyDescent="0.3">
      <c r="B6" s="7"/>
      <c r="C6" s="8" t="s">
        <v>62</v>
      </c>
      <c r="D6" s="58">
        <v>120000</v>
      </c>
      <c r="E6" s="10"/>
      <c r="F6" s="1"/>
      <c r="G6" s="40" t="s">
        <v>63</v>
      </c>
    </row>
    <row r="7" spans="2:7" ht="17.399999999999999" x14ac:dyDescent="0.3">
      <c r="B7" s="7"/>
      <c r="C7" s="8" t="s">
        <v>53</v>
      </c>
      <c r="D7" s="9">
        <v>30</v>
      </c>
      <c r="E7" s="10"/>
      <c r="F7" s="1"/>
      <c r="G7" s="40" t="s">
        <v>64</v>
      </c>
    </row>
    <row r="8" spans="2:7" ht="17.399999999999999" x14ac:dyDescent="0.3">
      <c r="B8" s="7"/>
      <c r="C8" s="8" t="s">
        <v>65</v>
      </c>
      <c r="D8" s="9">
        <v>15</v>
      </c>
      <c r="E8" s="10"/>
      <c r="F8" s="1"/>
      <c r="G8" s="40" t="s">
        <v>66</v>
      </c>
    </row>
    <row r="9" spans="2:7" x14ac:dyDescent="0.3">
      <c r="B9" s="7"/>
      <c r="C9" s="8" t="s">
        <v>57</v>
      </c>
      <c r="D9" s="29">
        <v>7.9500000000000001E-2</v>
      </c>
      <c r="E9" s="10"/>
      <c r="F9" s="1"/>
      <c r="G9" s="1"/>
    </row>
    <row r="10" spans="2:7" x14ac:dyDescent="0.3">
      <c r="B10" s="7"/>
      <c r="C10" s="8" t="s">
        <v>67</v>
      </c>
      <c r="D10" s="59">
        <v>2000</v>
      </c>
      <c r="E10" s="10"/>
      <c r="F10" s="1"/>
      <c r="G10" s="1"/>
    </row>
    <row r="11" spans="2:7" ht="16.2" thickBot="1" x14ac:dyDescent="0.35">
      <c r="B11" s="13"/>
      <c r="C11" s="14"/>
      <c r="D11" s="14"/>
      <c r="E11" s="15"/>
      <c r="F11" s="1"/>
      <c r="G11" s="1"/>
    </row>
    <row r="12" spans="2:7" x14ac:dyDescent="0.3">
      <c r="B12" s="1"/>
      <c r="C12" s="1"/>
      <c r="D12" s="1"/>
      <c r="E12" s="1"/>
      <c r="F12" s="1"/>
      <c r="G12" s="1"/>
    </row>
    <row r="13" spans="2:7" x14ac:dyDescent="0.3">
      <c r="B13" s="1"/>
      <c r="C13" s="3" t="s">
        <v>28</v>
      </c>
      <c r="D13" s="1"/>
      <c r="E13" s="1"/>
      <c r="F13" s="1"/>
      <c r="G13" s="1"/>
    </row>
    <row r="14" spans="2:7" ht="16.2" thickBot="1" x14ac:dyDescent="0.35">
      <c r="B14" s="1"/>
      <c r="C14" s="1"/>
      <c r="D14" s="1"/>
      <c r="E14" s="1"/>
      <c r="F14" s="1"/>
      <c r="G14" s="1"/>
    </row>
    <row r="15" spans="2:7" x14ac:dyDescent="0.3">
      <c r="B15" s="16"/>
      <c r="C15" s="17"/>
      <c r="D15" s="17"/>
      <c r="E15" s="18"/>
      <c r="F15" s="1"/>
      <c r="G15" s="1"/>
    </row>
    <row r="16" spans="2:7" x14ac:dyDescent="0.3">
      <c r="B16" s="19"/>
      <c r="C16" s="20" t="s">
        <v>68</v>
      </c>
      <c r="D16" s="84">
        <f>PMT($D$9/12,$D$7*12,-$D$6)</f>
        <v>876.33837129600352</v>
      </c>
      <c r="E16" s="22" t="s">
        <v>118</v>
      </c>
      <c r="F16" s="1"/>
      <c r="G16" s="1"/>
    </row>
    <row r="17" spans="2:7" x14ac:dyDescent="0.3">
      <c r="B17" s="19"/>
      <c r="C17" s="20"/>
      <c r="D17" s="60"/>
      <c r="E17" s="22"/>
      <c r="F17" s="1"/>
      <c r="G17" s="1"/>
    </row>
    <row r="18" spans="2:7" x14ac:dyDescent="0.3">
      <c r="B18" s="19"/>
      <c r="C18" s="20" t="s">
        <v>69</v>
      </c>
      <c r="D18" s="85">
        <f>PV($D$9/12,$D$8*12,-D16)</f>
        <v>91978.165425707673</v>
      </c>
      <c r="E18" s="22" t="s">
        <v>119</v>
      </c>
      <c r="F18" s="1"/>
      <c r="G18" s="1"/>
    </row>
    <row r="19" spans="2:7" x14ac:dyDescent="0.3">
      <c r="B19" s="19"/>
      <c r="C19" s="20"/>
      <c r="D19" s="52"/>
      <c r="E19" s="22"/>
      <c r="F19" s="1"/>
      <c r="G19" s="1"/>
    </row>
    <row r="20" spans="2:7" x14ac:dyDescent="0.3">
      <c r="B20" s="19"/>
      <c r="C20" s="20" t="s">
        <v>70</v>
      </c>
      <c r="D20" s="85">
        <f>D18+$D$10</f>
        <v>93978.165425707673</v>
      </c>
      <c r="E20" s="22" t="s">
        <v>120</v>
      </c>
      <c r="F20" s="1"/>
      <c r="G20" s="1"/>
    </row>
    <row r="21" spans="2:7" x14ac:dyDescent="0.3">
      <c r="B21" s="19"/>
      <c r="C21" s="20"/>
      <c r="D21" s="61"/>
      <c r="E21" s="22"/>
      <c r="F21" s="1"/>
      <c r="G21" s="1"/>
    </row>
    <row r="22" spans="2:7" x14ac:dyDescent="0.3">
      <c r="B22" s="19"/>
      <c r="C22" s="20" t="s">
        <v>71</v>
      </c>
      <c r="D22" s="72">
        <f>RATE($D$8*12,-D16,D20)*12</f>
        <v>7.5962698507513637E-2</v>
      </c>
      <c r="E22" s="22" t="s">
        <v>121</v>
      </c>
      <c r="F22" s="62" t="s">
        <v>4</v>
      </c>
      <c r="G22" s="1"/>
    </row>
    <row r="23" spans="2:7" ht="75.599999999999994" x14ac:dyDescent="0.3">
      <c r="B23" s="19"/>
      <c r="C23" s="20" t="s">
        <v>72</v>
      </c>
      <c r="D23" s="97" t="s">
        <v>129</v>
      </c>
      <c r="E23" s="22"/>
      <c r="F23" s="1"/>
      <c r="G23" s="1"/>
    </row>
    <row r="24" spans="2:7" x14ac:dyDescent="0.3">
      <c r="B24" s="19"/>
      <c r="C24" s="20" t="s">
        <v>73</v>
      </c>
      <c r="D24" s="61"/>
      <c r="E24" s="22"/>
      <c r="F24" s="1"/>
      <c r="G24" s="1"/>
    </row>
    <row r="25" spans="2:7" ht="16.2" thickBot="1" x14ac:dyDescent="0.35">
      <c r="B25" s="24"/>
      <c r="C25" s="25"/>
      <c r="D25" s="25"/>
      <c r="E25" s="26"/>
      <c r="F25" s="1"/>
      <c r="G25"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36"/>
  <sheetViews>
    <sheetView topLeftCell="B3" workbookViewId="0">
      <selection activeCell="D27" sqref="D27"/>
    </sheetView>
  </sheetViews>
  <sheetFormatPr defaultColWidth="11" defaultRowHeight="15.6" x14ac:dyDescent="0.3"/>
  <cols>
    <col min="3" max="3" width="41.09765625" bestFit="1" customWidth="1"/>
    <col min="4" max="4" width="15.09765625" bestFit="1" customWidth="1"/>
    <col min="5" max="5" width="15.3984375" bestFit="1" customWidth="1"/>
    <col min="7" max="7" width="88.296875" bestFit="1" customWidth="1"/>
  </cols>
  <sheetData>
    <row r="2" spans="1:8" x14ac:dyDescent="0.3">
      <c r="C2" s="3" t="s">
        <v>16</v>
      </c>
    </row>
    <row r="3" spans="1:8" ht="17.399999999999999" x14ac:dyDescent="0.3">
      <c r="A3" s="1"/>
      <c r="B3" s="1"/>
      <c r="C3" s="3"/>
      <c r="D3" s="1"/>
      <c r="E3" s="1"/>
      <c r="F3" s="1"/>
      <c r="G3" s="2"/>
      <c r="H3" s="1"/>
    </row>
    <row r="4" spans="1:8" x14ac:dyDescent="0.3">
      <c r="A4" s="1"/>
      <c r="F4" s="1"/>
    </row>
    <row r="5" spans="1:8" ht="16.2" thickBot="1" x14ac:dyDescent="0.35">
      <c r="A5" s="1"/>
      <c r="F5" s="1"/>
    </row>
    <row r="6" spans="1:8" ht="17.399999999999999" x14ac:dyDescent="0.3">
      <c r="A6" s="1"/>
      <c r="B6" s="4"/>
      <c r="C6" s="5"/>
      <c r="D6" s="5"/>
      <c r="E6" s="6"/>
      <c r="F6" s="1"/>
      <c r="G6" s="40" t="s">
        <v>74</v>
      </c>
    </row>
    <row r="7" spans="1:8" ht="17.399999999999999" x14ac:dyDescent="0.3">
      <c r="A7" s="1"/>
      <c r="B7" s="7"/>
      <c r="C7" s="8" t="s">
        <v>75</v>
      </c>
      <c r="D7" s="12">
        <v>0.03</v>
      </c>
      <c r="E7" s="10"/>
      <c r="F7" s="1"/>
      <c r="G7" s="40" t="s">
        <v>76</v>
      </c>
    </row>
    <row r="8" spans="1:8" ht="17.399999999999999" x14ac:dyDescent="0.3">
      <c r="A8" s="1"/>
      <c r="B8" s="7"/>
      <c r="C8" s="8" t="s">
        <v>77</v>
      </c>
      <c r="D8" s="63">
        <v>50</v>
      </c>
      <c r="E8" s="10"/>
      <c r="F8" s="1"/>
      <c r="G8" s="40" t="s">
        <v>78</v>
      </c>
    </row>
    <row r="9" spans="1:8" ht="17.399999999999999" x14ac:dyDescent="0.3">
      <c r="A9" s="1"/>
      <c r="B9" s="7"/>
      <c r="C9" s="8" t="s">
        <v>77</v>
      </c>
      <c r="D9" s="63">
        <v>200</v>
      </c>
      <c r="E9" s="10"/>
      <c r="F9" s="1"/>
      <c r="G9" s="2"/>
    </row>
    <row r="10" spans="1:8" x14ac:dyDescent="0.3">
      <c r="A10" s="1"/>
      <c r="B10" s="7"/>
      <c r="C10" s="8" t="s">
        <v>77</v>
      </c>
      <c r="D10" s="63">
        <v>400</v>
      </c>
      <c r="E10" s="10"/>
      <c r="F10" s="1"/>
      <c r="G10" s="1"/>
    </row>
    <row r="11" spans="1:8" ht="16.2" thickBot="1" x14ac:dyDescent="0.35">
      <c r="A11" s="1"/>
      <c r="B11" s="13"/>
      <c r="C11" s="14"/>
      <c r="D11" s="14"/>
      <c r="E11" s="15"/>
      <c r="F11" s="1"/>
      <c r="G11" s="1"/>
    </row>
    <row r="12" spans="1:8" x14ac:dyDescent="0.3">
      <c r="A12" s="1"/>
      <c r="B12" s="1"/>
      <c r="C12" s="1"/>
      <c r="D12" s="1"/>
      <c r="E12" s="1"/>
      <c r="F12" s="1"/>
      <c r="G12" s="1"/>
    </row>
    <row r="13" spans="1:8" x14ac:dyDescent="0.3">
      <c r="A13" s="1"/>
      <c r="B13" s="1"/>
      <c r="C13" s="3" t="s">
        <v>28</v>
      </c>
      <c r="D13" s="1"/>
      <c r="E13" s="1"/>
      <c r="F13" s="1"/>
      <c r="G13" s="1"/>
    </row>
    <row r="14" spans="1:8" ht="16.2" thickBot="1" x14ac:dyDescent="0.35">
      <c r="A14" s="1"/>
      <c r="B14" s="1"/>
      <c r="C14" s="1"/>
      <c r="D14" s="1"/>
      <c r="E14" s="1"/>
      <c r="F14" s="1"/>
      <c r="G14" s="1"/>
    </row>
    <row r="15" spans="1:8" x14ac:dyDescent="0.3">
      <c r="A15" s="1"/>
      <c r="B15" s="16"/>
      <c r="C15" s="17"/>
      <c r="D15" s="17"/>
      <c r="E15" s="18"/>
      <c r="F15" s="1"/>
      <c r="G15" s="1"/>
    </row>
    <row r="16" spans="1:8" x14ac:dyDescent="0.3">
      <c r="A16" s="1"/>
      <c r="B16" s="19"/>
      <c r="C16" s="64" t="s">
        <v>79</v>
      </c>
      <c r="D16" s="64" t="s">
        <v>80</v>
      </c>
      <c r="E16" s="22"/>
      <c r="F16" s="1"/>
      <c r="G16" s="1"/>
      <c r="H16" s="1"/>
    </row>
    <row r="17" spans="1:8" x14ac:dyDescent="0.3">
      <c r="A17" s="1"/>
      <c r="B17" s="19"/>
      <c r="C17" s="65">
        <f>D8</f>
        <v>50</v>
      </c>
      <c r="D17" s="67">
        <f>$D$7*(C17/100)</f>
        <v>1.4999999999999999E-2</v>
      </c>
      <c r="E17" s="22" t="s">
        <v>122</v>
      </c>
      <c r="F17" s="62" t="s">
        <v>4</v>
      </c>
      <c r="G17" s="1"/>
      <c r="H17" s="1"/>
    </row>
    <row r="18" spans="1:8" x14ac:dyDescent="0.3">
      <c r="A18" s="1"/>
      <c r="B18" s="19"/>
      <c r="C18" s="65">
        <f>D9</f>
        <v>200</v>
      </c>
      <c r="D18" s="67">
        <f t="shared" ref="D18:D19" si="0">$D$7*(C18/100)</f>
        <v>0.06</v>
      </c>
      <c r="E18" s="22" t="s">
        <v>123</v>
      </c>
      <c r="F18" s="62" t="s">
        <v>5</v>
      </c>
      <c r="G18" s="1"/>
      <c r="H18" s="1"/>
    </row>
    <row r="19" spans="1:8" x14ac:dyDescent="0.3">
      <c r="A19" s="1"/>
      <c r="B19" s="19"/>
      <c r="C19" s="65">
        <f>D10</f>
        <v>400</v>
      </c>
      <c r="D19" s="67">
        <f t="shared" si="0"/>
        <v>0.12</v>
      </c>
      <c r="E19" s="22" t="s">
        <v>124</v>
      </c>
      <c r="F19" s="62" t="s">
        <v>6</v>
      </c>
      <c r="G19" s="1"/>
      <c r="H19" s="1"/>
    </row>
    <row r="20" spans="1:8" x14ac:dyDescent="0.3">
      <c r="A20" s="1"/>
      <c r="B20" s="19"/>
      <c r="C20" s="20"/>
      <c r="D20" s="20"/>
      <c r="E20" s="22"/>
      <c r="F20" s="1"/>
      <c r="G20" s="1"/>
      <c r="H20" s="1"/>
    </row>
    <row r="21" spans="1:8" x14ac:dyDescent="0.3">
      <c r="A21" s="1"/>
      <c r="B21" s="19"/>
      <c r="C21" s="20"/>
      <c r="D21" s="73" t="s">
        <v>100</v>
      </c>
      <c r="E21" s="22"/>
      <c r="F21" s="66" t="s">
        <v>11</v>
      </c>
      <c r="G21" s="1"/>
      <c r="H21" s="1"/>
    </row>
    <row r="22" spans="1:8" x14ac:dyDescent="0.3">
      <c r="A22" s="1"/>
      <c r="B22" s="19"/>
      <c r="C22" s="20"/>
      <c r="D22" s="20" t="s">
        <v>12</v>
      </c>
      <c r="E22" s="22"/>
      <c r="F22" s="1"/>
      <c r="G22" s="1"/>
      <c r="H22" s="1"/>
    </row>
    <row r="23" spans="1:8" x14ac:dyDescent="0.3">
      <c r="A23" s="1"/>
      <c r="B23" s="19"/>
      <c r="C23" s="20"/>
      <c r="D23" s="20"/>
      <c r="E23" s="22"/>
      <c r="F23" s="1"/>
      <c r="G23" s="1"/>
      <c r="H23" s="1"/>
    </row>
    <row r="24" spans="1:8" x14ac:dyDescent="0.3">
      <c r="A24" s="1"/>
      <c r="B24" s="19"/>
      <c r="C24" s="20"/>
      <c r="D24" s="20"/>
      <c r="E24" s="22"/>
      <c r="F24" s="1"/>
      <c r="G24" s="1"/>
      <c r="H24" s="1"/>
    </row>
    <row r="25" spans="1:8" x14ac:dyDescent="0.3">
      <c r="A25" s="1"/>
      <c r="B25" s="19"/>
      <c r="C25" s="20"/>
      <c r="D25" s="20"/>
      <c r="E25" s="22"/>
      <c r="F25" s="1"/>
      <c r="G25" s="1"/>
      <c r="H25" s="1"/>
    </row>
    <row r="26" spans="1:8" x14ac:dyDescent="0.3">
      <c r="A26" s="1"/>
      <c r="B26" s="19"/>
      <c r="C26" s="20"/>
      <c r="D26" s="20"/>
      <c r="E26" s="22"/>
      <c r="F26" s="1"/>
      <c r="G26" s="1"/>
      <c r="H26" s="1"/>
    </row>
    <row r="27" spans="1:8" x14ac:dyDescent="0.3">
      <c r="A27" s="1"/>
      <c r="B27" s="19"/>
      <c r="C27" s="20"/>
      <c r="D27" s="20"/>
      <c r="E27" s="22"/>
      <c r="F27" s="1"/>
      <c r="G27" s="1"/>
      <c r="H27" s="1"/>
    </row>
    <row r="28" spans="1:8" x14ac:dyDescent="0.3">
      <c r="A28" s="1"/>
      <c r="B28" s="19"/>
      <c r="C28" s="20"/>
      <c r="D28" s="20"/>
      <c r="E28" s="22"/>
      <c r="F28" s="1"/>
      <c r="G28" s="1"/>
      <c r="H28" s="1"/>
    </row>
    <row r="29" spans="1:8" x14ac:dyDescent="0.3">
      <c r="A29" s="1"/>
      <c r="B29" s="19"/>
      <c r="C29" s="20"/>
      <c r="D29" s="20"/>
      <c r="E29" s="22"/>
      <c r="F29" s="1"/>
      <c r="G29" s="1"/>
      <c r="H29" s="1"/>
    </row>
    <row r="30" spans="1:8" x14ac:dyDescent="0.3">
      <c r="A30" s="1"/>
      <c r="B30" s="19"/>
      <c r="C30" s="20"/>
      <c r="D30" s="20"/>
      <c r="E30" s="22"/>
      <c r="F30" s="1"/>
      <c r="G30" s="1"/>
      <c r="H30" s="1"/>
    </row>
    <row r="31" spans="1:8" x14ac:dyDescent="0.3">
      <c r="A31" s="1"/>
      <c r="B31" s="19"/>
      <c r="C31" s="20"/>
      <c r="D31" s="20"/>
      <c r="E31" s="22"/>
      <c r="F31" s="1"/>
      <c r="G31" s="1"/>
      <c r="H31" s="1"/>
    </row>
    <row r="32" spans="1:8" x14ac:dyDescent="0.3">
      <c r="A32" s="1"/>
      <c r="B32" s="19"/>
      <c r="C32" s="20"/>
      <c r="D32" s="20"/>
      <c r="E32" s="22"/>
      <c r="F32" s="1"/>
      <c r="G32" s="1"/>
      <c r="H32" s="1"/>
    </row>
    <row r="33" spans="1:8" x14ac:dyDescent="0.3">
      <c r="A33" s="1"/>
      <c r="B33" s="19"/>
      <c r="C33" s="20"/>
      <c r="D33" s="20"/>
      <c r="E33" s="22"/>
      <c r="F33" s="1"/>
      <c r="G33" s="1"/>
      <c r="H33" s="1"/>
    </row>
    <row r="34" spans="1:8" x14ac:dyDescent="0.3">
      <c r="A34" s="1"/>
      <c r="B34" s="19"/>
      <c r="C34" s="20"/>
      <c r="D34" s="20"/>
      <c r="E34" s="22"/>
      <c r="F34" s="1"/>
      <c r="G34" s="1"/>
      <c r="H34" s="1"/>
    </row>
    <row r="35" spans="1:8" x14ac:dyDescent="0.3">
      <c r="A35" s="1"/>
      <c r="B35" s="19"/>
      <c r="C35" s="20"/>
      <c r="D35" s="20"/>
      <c r="E35" s="22"/>
      <c r="F35" s="1"/>
      <c r="G35" s="1"/>
      <c r="H35" s="1"/>
    </row>
    <row r="36" spans="1:8" ht="16.2" thickBot="1" x14ac:dyDescent="0.35">
      <c r="A36" s="1"/>
      <c r="B36" s="24"/>
      <c r="C36" s="25"/>
      <c r="D36" s="25"/>
      <c r="E36" s="26"/>
      <c r="F36" s="1"/>
      <c r="G36" s="1"/>
      <c r="H36"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5"/>
  <sheetViews>
    <sheetView topLeftCell="A7" workbookViewId="0">
      <selection activeCell="G27" sqref="G27"/>
    </sheetView>
  </sheetViews>
  <sheetFormatPr defaultColWidth="8.796875" defaultRowHeight="15.6" x14ac:dyDescent="0.3"/>
  <cols>
    <col min="2" max="2" width="3.09765625" customWidth="1"/>
    <col min="3" max="3" width="24.3984375" customWidth="1"/>
    <col min="4" max="4" width="21.296875" customWidth="1"/>
    <col min="5" max="5" width="3.09765625" customWidth="1"/>
    <col min="6" max="6" width="9.69921875" customWidth="1"/>
    <col min="7" max="7" width="16.8984375" bestFit="1" customWidth="1"/>
    <col min="258" max="258" width="3.09765625" customWidth="1"/>
    <col min="259" max="259" width="24.3984375" customWidth="1"/>
    <col min="260" max="260" width="21.296875" customWidth="1"/>
    <col min="261" max="261" width="3.09765625" customWidth="1"/>
    <col min="262" max="262" width="1.796875" customWidth="1"/>
    <col min="514" max="514" width="3.09765625" customWidth="1"/>
    <col min="515" max="515" width="24.3984375" customWidth="1"/>
    <col min="516" max="516" width="21.296875" customWidth="1"/>
    <col min="517" max="517" width="3.09765625" customWidth="1"/>
    <col min="518" max="518" width="1.796875" customWidth="1"/>
    <col min="770" max="770" width="3.09765625" customWidth="1"/>
    <col min="771" max="771" width="24.3984375" customWidth="1"/>
    <col min="772" max="772" width="21.296875" customWidth="1"/>
    <col min="773" max="773" width="3.09765625" customWidth="1"/>
    <col min="774" max="774" width="1.796875" customWidth="1"/>
    <col min="1026" max="1026" width="3.09765625" customWidth="1"/>
    <col min="1027" max="1027" width="24.3984375" customWidth="1"/>
    <col min="1028" max="1028" width="21.296875" customWidth="1"/>
    <col min="1029" max="1029" width="3.09765625" customWidth="1"/>
    <col min="1030" max="1030" width="1.796875" customWidth="1"/>
    <col min="1282" max="1282" width="3.09765625" customWidth="1"/>
    <col min="1283" max="1283" width="24.3984375" customWidth="1"/>
    <col min="1284" max="1284" width="21.296875" customWidth="1"/>
    <col min="1285" max="1285" width="3.09765625" customWidth="1"/>
    <col min="1286" max="1286" width="1.796875" customWidth="1"/>
    <col min="1538" max="1538" width="3.09765625" customWidth="1"/>
    <col min="1539" max="1539" width="24.3984375" customWidth="1"/>
    <col min="1540" max="1540" width="21.296875" customWidth="1"/>
    <col min="1541" max="1541" width="3.09765625" customWidth="1"/>
    <col min="1542" max="1542" width="1.796875" customWidth="1"/>
    <col min="1794" max="1794" width="3.09765625" customWidth="1"/>
    <col min="1795" max="1795" width="24.3984375" customWidth="1"/>
    <col min="1796" max="1796" width="21.296875" customWidth="1"/>
    <col min="1797" max="1797" width="3.09765625" customWidth="1"/>
    <col min="1798" max="1798" width="1.796875" customWidth="1"/>
    <col min="2050" max="2050" width="3.09765625" customWidth="1"/>
    <col min="2051" max="2051" width="24.3984375" customWidth="1"/>
    <col min="2052" max="2052" width="21.296875" customWidth="1"/>
    <col min="2053" max="2053" width="3.09765625" customWidth="1"/>
    <col min="2054" max="2054" width="1.796875" customWidth="1"/>
    <col min="2306" max="2306" width="3.09765625" customWidth="1"/>
    <col min="2307" max="2307" width="24.3984375" customWidth="1"/>
    <col min="2308" max="2308" width="21.296875" customWidth="1"/>
    <col min="2309" max="2309" width="3.09765625" customWidth="1"/>
    <col min="2310" max="2310" width="1.796875" customWidth="1"/>
    <col min="2562" max="2562" width="3.09765625" customWidth="1"/>
    <col min="2563" max="2563" width="24.3984375" customWidth="1"/>
    <col min="2564" max="2564" width="21.296875" customWidth="1"/>
    <col min="2565" max="2565" width="3.09765625" customWidth="1"/>
    <col min="2566" max="2566" width="1.796875" customWidth="1"/>
    <col min="2818" max="2818" width="3.09765625" customWidth="1"/>
    <col min="2819" max="2819" width="24.3984375" customWidth="1"/>
    <col min="2820" max="2820" width="21.296875" customWidth="1"/>
    <col min="2821" max="2821" width="3.09765625" customWidth="1"/>
    <col min="2822" max="2822" width="1.796875" customWidth="1"/>
    <col min="3074" max="3074" width="3.09765625" customWidth="1"/>
    <col min="3075" max="3075" width="24.3984375" customWidth="1"/>
    <col min="3076" max="3076" width="21.296875" customWidth="1"/>
    <col min="3077" max="3077" width="3.09765625" customWidth="1"/>
    <col min="3078" max="3078" width="1.796875" customWidth="1"/>
    <col min="3330" max="3330" width="3.09765625" customWidth="1"/>
    <col min="3331" max="3331" width="24.3984375" customWidth="1"/>
    <col min="3332" max="3332" width="21.296875" customWidth="1"/>
    <col min="3333" max="3333" width="3.09765625" customWidth="1"/>
    <col min="3334" max="3334" width="1.796875" customWidth="1"/>
    <col min="3586" max="3586" width="3.09765625" customWidth="1"/>
    <col min="3587" max="3587" width="24.3984375" customWidth="1"/>
    <col min="3588" max="3588" width="21.296875" customWidth="1"/>
    <col min="3589" max="3589" width="3.09765625" customWidth="1"/>
    <col min="3590" max="3590" width="1.796875" customWidth="1"/>
    <col min="3842" max="3842" width="3.09765625" customWidth="1"/>
    <col min="3843" max="3843" width="24.3984375" customWidth="1"/>
    <col min="3844" max="3844" width="21.296875" customWidth="1"/>
    <col min="3845" max="3845" width="3.09765625" customWidth="1"/>
    <col min="3846" max="3846" width="1.796875" customWidth="1"/>
    <col min="4098" max="4098" width="3.09765625" customWidth="1"/>
    <col min="4099" max="4099" width="24.3984375" customWidth="1"/>
    <col min="4100" max="4100" width="21.296875" customWidth="1"/>
    <col min="4101" max="4101" width="3.09765625" customWidth="1"/>
    <col min="4102" max="4102" width="1.796875" customWidth="1"/>
    <col min="4354" max="4354" width="3.09765625" customWidth="1"/>
    <col min="4355" max="4355" width="24.3984375" customWidth="1"/>
    <col min="4356" max="4356" width="21.296875" customWidth="1"/>
    <col min="4357" max="4357" width="3.09765625" customWidth="1"/>
    <col min="4358" max="4358" width="1.796875" customWidth="1"/>
    <col min="4610" max="4610" width="3.09765625" customWidth="1"/>
    <col min="4611" max="4611" width="24.3984375" customWidth="1"/>
    <col min="4612" max="4612" width="21.296875" customWidth="1"/>
    <col min="4613" max="4613" width="3.09765625" customWidth="1"/>
    <col min="4614" max="4614" width="1.796875" customWidth="1"/>
    <col min="4866" max="4866" width="3.09765625" customWidth="1"/>
    <col min="4867" max="4867" width="24.3984375" customWidth="1"/>
    <col min="4868" max="4868" width="21.296875" customWidth="1"/>
    <col min="4869" max="4869" width="3.09765625" customWidth="1"/>
    <col min="4870" max="4870" width="1.796875" customWidth="1"/>
    <col min="5122" max="5122" width="3.09765625" customWidth="1"/>
    <col min="5123" max="5123" width="24.3984375" customWidth="1"/>
    <col min="5124" max="5124" width="21.296875" customWidth="1"/>
    <col min="5125" max="5125" width="3.09765625" customWidth="1"/>
    <col min="5126" max="5126" width="1.796875" customWidth="1"/>
    <col min="5378" max="5378" width="3.09765625" customWidth="1"/>
    <col min="5379" max="5379" width="24.3984375" customWidth="1"/>
    <col min="5380" max="5380" width="21.296875" customWidth="1"/>
    <col min="5381" max="5381" width="3.09765625" customWidth="1"/>
    <col min="5382" max="5382" width="1.796875" customWidth="1"/>
    <col min="5634" max="5634" width="3.09765625" customWidth="1"/>
    <col min="5635" max="5635" width="24.3984375" customWidth="1"/>
    <col min="5636" max="5636" width="21.296875" customWidth="1"/>
    <col min="5637" max="5637" width="3.09765625" customWidth="1"/>
    <col min="5638" max="5638" width="1.796875" customWidth="1"/>
    <col min="5890" max="5890" width="3.09765625" customWidth="1"/>
    <col min="5891" max="5891" width="24.3984375" customWidth="1"/>
    <col min="5892" max="5892" width="21.296875" customWidth="1"/>
    <col min="5893" max="5893" width="3.09765625" customWidth="1"/>
    <col min="5894" max="5894" width="1.796875" customWidth="1"/>
    <col min="6146" max="6146" width="3.09765625" customWidth="1"/>
    <col min="6147" max="6147" width="24.3984375" customWidth="1"/>
    <col min="6148" max="6148" width="21.296875" customWidth="1"/>
    <col min="6149" max="6149" width="3.09765625" customWidth="1"/>
    <col min="6150" max="6150" width="1.796875" customWidth="1"/>
    <col min="6402" max="6402" width="3.09765625" customWidth="1"/>
    <col min="6403" max="6403" width="24.3984375" customWidth="1"/>
    <col min="6404" max="6404" width="21.296875" customWidth="1"/>
    <col min="6405" max="6405" width="3.09765625" customWidth="1"/>
    <col min="6406" max="6406" width="1.796875" customWidth="1"/>
    <col min="6658" max="6658" width="3.09765625" customWidth="1"/>
    <col min="6659" max="6659" width="24.3984375" customWidth="1"/>
    <col min="6660" max="6660" width="21.296875" customWidth="1"/>
    <col min="6661" max="6661" width="3.09765625" customWidth="1"/>
    <col min="6662" max="6662" width="1.796875" customWidth="1"/>
    <col min="6914" max="6914" width="3.09765625" customWidth="1"/>
    <col min="6915" max="6915" width="24.3984375" customWidth="1"/>
    <col min="6916" max="6916" width="21.296875" customWidth="1"/>
    <col min="6917" max="6917" width="3.09765625" customWidth="1"/>
    <col min="6918" max="6918" width="1.796875" customWidth="1"/>
    <col min="7170" max="7170" width="3.09765625" customWidth="1"/>
    <col min="7171" max="7171" width="24.3984375" customWidth="1"/>
    <col min="7172" max="7172" width="21.296875" customWidth="1"/>
    <col min="7173" max="7173" width="3.09765625" customWidth="1"/>
    <col min="7174" max="7174" width="1.796875" customWidth="1"/>
    <col min="7426" max="7426" width="3.09765625" customWidth="1"/>
    <col min="7427" max="7427" width="24.3984375" customWidth="1"/>
    <col min="7428" max="7428" width="21.296875" customWidth="1"/>
    <col min="7429" max="7429" width="3.09765625" customWidth="1"/>
    <col min="7430" max="7430" width="1.796875" customWidth="1"/>
    <col min="7682" max="7682" width="3.09765625" customWidth="1"/>
    <col min="7683" max="7683" width="24.3984375" customWidth="1"/>
    <col min="7684" max="7684" width="21.296875" customWidth="1"/>
    <col min="7685" max="7685" width="3.09765625" customWidth="1"/>
    <col min="7686" max="7686" width="1.796875" customWidth="1"/>
    <col min="7938" max="7938" width="3.09765625" customWidth="1"/>
    <col min="7939" max="7939" width="24.3984375" customWidth="1"/>
    <col min="7940" max="7940" width="21.296875" customWidth="1"/>
    <col min="7941" max="7941" width="3.09765625" customWidth="1"/>
    <col min="7942" max="7942" width="1.796875" customWidth="1"/>
    <col min="8194" max="8194" width="3.09765625" customWidth="1"/>
    <col min="8195" max="8195" width="24.3984375" customWidth="1"/>
    <col min="8196" max="8196" width="21.296875" customWidth="1"/>
    <col min="8197" max="8197" width="3.09765625" customWidth="1"/>
    <col min="8198" max="8198" width="1.796875" customWidth="1"/>
    <col min="8450" max="8450" width="3.09765625" customWidth="1"/>
    <col min="8451" max="8451" width="24.3984375" customWidth="1"/>
    <col min="8452" max="8452" width="21.296875" customWidth="1"/>
    <col min="8453" max="8453" width="3.09765625" customWidth="1"/>
    <col min="8454" max="8454" width="1.796875" customWidth="1"/>
    <col min="8706" max="8706" width="3.09765625" customWidth="1"/>
    <col min="8707" max="8707" width="24.3984375" customWidth="1"/>
    <col min="8708" max="8708" width="21.296875" customWidth="1"/>
    <col min="8709" max="8709" width="3.09765625" customWidth="1"/>
    <col min="8710" max="8710" width="1.796875" customWidth="1"/>
    <col min="8962" max="8962" width="3.09765625" customWidth="1"/>
    <col min="8963" max="8963" width="24.3984375" customWidth="1"/>
    <col min="8964" max="8964" width="21.296875" customWidth="1"/>
    <col min="8965" max="8965" width="3.09765625" customWidth="1"/>
    <col min="8966" max="8966" width="1.796875" customWidth="1"/>
    <col min="9218" max="9218" width="3.09765625" customWidth="1"/>
    <col min="9219" max="9219" width="24.3984375" customWidth="1"/>
    <col min="9220" max="9220" width="21.296875" customWidth="1"/>
    <col min="9221" max="9221" width="3.09765625" customWidth="1"/>
    <col min="9222" max="9222" width="1.796875" customWidth="1"/>
    <col min="9474" max="9474" width="3.09765625" customWidth="1"/>
    <col min="9475" max="9475" width="24.3984375" customWidth="1"/>
    <col min="9476" max="9476" width="21.296875" customWidth="1"/>
    <col min="9477" max="9477" width="3.09765625" customWidth="1"/>
    <col min="9478" max="9478" width="1.796875" customWidth="1"/>
    <col min="9730" max="9730" width="3.09765625" customWidth="1"/>
    <col min="9731" max="9731" width="24.3984375" customWidth="1"/>
    <col min="9732" max="9732" width="21.296875" customWidth="1"/>
    <col min="9733" max="9733" width="3.09765625" customWidth="1"/>
    <col min="9734" max="9734" width="1.796875" customWidth="1"/>
    <col min="9986" max="9986" width="3.09765625" customWidth="1"/>
    <col min="9987" max="9987" width="24.3984375" customWidth="1"/>
    <col min="9988" max="9988" width="21.296875" customWidth="1"/>
    <col min="9989" max="9989" width="3.09765625" customWidth="1"/>
    <col min="9990" max="9990" width="1.796875" customWidth="1"/>
    <col min="10242" max="10242" width="3.09765625" customWidth="1"/>
    <col min="10243" max="10243" width="24.3984375" customWidth="1"/>
    <col min="10244" max="10244" width="21.296875" customWidth="1"/>
    <col min="10245" max="10245" width="3.09765625" customWidth="1"/>
    <col min="10246" max="10246" width="1.796875" customWidth="1"/>
    <col min="10498" max="10498" width="3.09765625" customWidth="1"/>
    <col min="10499" max="10499" width="24.3984375" customWidth="1"/>
    <col min="10500" max="10500" width="21.296875" customWidth="1"/>
    <col min="10501" max="10501" width="3.09765625" customWidth="1"/>
    <col min="10502" max="10502" width="1.796875" customWidth="1"/>
    <col min="10754" max="10754" width="3.09765625" customWidth="1"/>
    <col min="10755" max="10755" width="24.3984375" customWidth="1"/>
    <col min="10756" max="10756" width="21.296875" customWidth="1"/>
    <col min="10757" max="10757" width="3.09765625" customWidth="1"/>
    <col min="10758" max="10758" width="1.796875" customWidth="1"/>
    <col min="11010" max="11010" width="3.09765625" customWidth="1"/>
    <col min="11011" max="11011" width="24.3984375" customWidth="1"/>
    <col min="11012" max="11012" width="21.296875" customWidth="1"/>
    <col min="11013" max="11013" width="3.09765625" customWidth="1"/>
    <col min="11014" max="11014" width="1.796875" customWidth="1"/>
    <col min="11266" max="11266" width="3.09765625" customWidth="1"/>
    <col min="11267" max="11267" width="24.3984375" customWidth="1"/>
    <col min="11268" max="11268" width="21.296875" customWidth="1"/>
    <col min="11269" max="11269" width="3.09765625" customWidth="1"/>
    <col min="11270" max="11270" width="1.796875" customWidth="1"/>
    <col min="11522" max="11522" width="3.09765625" customWidth="1"/>
    <col min="11523" max="11523" width="24.3984375" customWidth="1"/>
    <col min="11524" max="11524" width="21.296875" customWidth="1"/>
    <col min="11525" max="11525" width="3.09765625" customWidth="1"/>
    <col min="11526" max="11526" width="1.796875" customWidth="1"/>
    <col min="11778" max="11778" width="3.09765625" customWidth="1"/>
    <col min="11779" max="11779" width="24.3984375" customWidth="1"/>
    <col min="11780" max="11780" width="21.296875" customWidth="1"/>
    <col min="11781" max="11781" width="3.09765625" customWidth="1"/>
    <col min="11782" max="11782" width="1.796875" customWidth="1"/>
    <col min="12034" max="12034" width="3.09765625" customWidth="1"/>
    <col min="12035" max="12035" width="24.3984375" customWidth="1"/>
    <col min="12036" max="12036" width="21.296875" customWidth="1"/>
    <col min="12037" max="12037" width="3.09765625" customWidth="1"/>
    <col min="12038" max="12038" width="1.796875" customWidth="1"/>
    <col min="12290" max="12290" width="3.09765625" customWidth="1"/>
    <col min="12291" max="12291" width="24.3984375" customWidth="1"/>
    <col min="12292" max="12292" width="21.296875" customWidth="1"/>
    <col min="12293" max="12293" width="3.09765625" customWidth="1"/>
    <col min="12294" max="12294" width="1.796875" customWidth="1"/>
    <col min="12546" max="12546" width="3.09765625" customWidth="1"/>
    <col min="12547" max="12547" width="24.3984375" customWidth="1"/>
    <col min="12548" max="12548" width="21.296875" customWidth="1"/>
    <col min="12549" max="12549" width="3.09765625" customWidth="1"/>
    <col min="12550" max="12550" width="1.796875" customWidth="1"/>
    <col min="12802" max="12802" width="3.09765625" customWidth="1"/>
    <col min="12803" max="12803" width="24.3984375" customWidth="1"/>
    <col min="12804" max="12804" width="21.296875" customWidth="1"/>
    <col min="12805" max="12805" width="3.09765625" customWidth="1"/>
    <col min="12806" max="12806" width="1.796875" customWidth="1"/>
    <col min="13058" max="13058" width="3.09765625" customWidth="1"/>
    <col min="13059" max="13059" width="24.3984375" customWidth="1"/>
    <col min="13060" max="13060" width="21.296875" customWidth="1"/>
    <col min="13061" max="13061" width="3.09765625" customWidth="1"/>
    <col min="13062" max="13062" width="1.796875" customWidth="1"/>
    <col min="13314" max="13314" width="3.09765625" customWidth="1"/>
    <col min="13315" max="13315" width="24.3984375" customWidth="1"/>
    <col min="13316" max="13316" width="21.296875" customWidth="1"/>
    <col min="13317" max="13317" width="3.09765625" customWidth="1"/>
    <col min="13318" max="13318" width="1.796875" customWidth="1"/>
    <col min="13570" max="13570" width="3.09765625" customWidth="1"/>
    <col min="13571" max="13571" width="24.3984375" customWidth="1"/>
    <col min="13572" max="13572" width="21.296875" customWidth="1"/>
    <col min="13573" max="13573" width="3.09765625" customWidth="1"/>
    <col min="13574" max="13574" width="1.796875" customWidth="1"/>
    <col min="13826" max="13826" width="3.09765625" customWidth="1"/>
    <col min="13827" max="13827" width="24.3984375" customWidth="1"/>
    <col min="13828" max="13828" width="21.296875" customWidth="1"/>
    <col min="13829" max="13829" width="3.09765625" customWidth="1"/>
    <col min="13830" max="13830" width="1.796875" customWidth="1"/>
    <col min="14082" max="14082" width="3.09765625" customWidth="1"/>
    <col min="14083" max="14083" width="24.3984375" customWidth="1"/>
    <col min="14084" max="14084" width="21.296875" customWidth="1"/>
    <col min="14085" max="14085" width="3.09765625" customWidth="1"/>
    <col min="14086" max="14086" width="1.796875" customWidth="1"/>
    <col min="14338" max="14338" width="3.09765625" customWidth="1"/>
    <col min="14339" max="14339" width="24.3984375" customWidth="1"/>
    <col min="14340" max="14340" width="21.296875" customWidth="1"/>
    <col min="14341" max="14341" width="3.09765625" customWidth="1"/>
    <col min="14342" max="14342" width="1.796875" customWidth="1"/>
    <col min="14594" max="14594" width="3.09765625" customWidth="1"/>
    <col min="14595" max="14595" width="24.3984375" customWidth="1"/>
    <col min="14596" max="14596" width="21.296875" customWidth="1"/>
    <col min="14597" max="14597" width="3.09765625" customWidth="1"/>
    <col min="14598" max="14598" width="1.796875" customWidth="1"/>
    <col min="14850" max="14850" width="3.09765625" customWidth="1"/>
    <col min="14851" max="14851" width="24.3984375" customWidth="1"/>
    <col min="14852" max="14852" width="21.296875" customWidth="1"/>
    <col min="14853" max="14853" width="3.09765625" customWidth="1"/>
    <col min="14854" max="14854" width="1.796875" customWidth="1"/>
    <col min="15106" max="15106" width="3.09765625" customWidth="1"/>
    <col min="15107" max="15107" width="24.3984375" customWidth="1"/>
    <col min="15108" max="15108" width="21.296875" customWidth="1"/>
    <col min="15109" max="15109" width="3.09765625" customWidth="1"/>
    <col min="15110" max="15110" width="1.796875" customWidth="1"/>
    <col min="15362" max="15362" width="3.09765625" customWidth="1"/>
    <col min="15363" max="15363" width="24.3984375" customWidth="1"/>
    <col min="15364" max="15364" width="21.296875" customWidth="1"/>
    <col min="15365" max="15365" width="3.09765625" customWidth="1"/>
    <col min="15366" max="15366" width="1.796875" customWidth="1"/>
    <col min="15618" max="15618" width="3.09765625" customWidth="1"/>
    <col min="15619" max="15619" width="24.3984375" customWidth="1"/>
    <col min="15620" max="15620" width="21.296875" customWidth="1"/>
    <col min="15621" max="15621" width="3.09765625" customWidth="1"/>
    <col min="15622" max="15622" width="1.796875" customWidth="1"/>
    <col min="15874" max="15874" width="3.09765625" customWidth="1"/>
    <col min="15875" max="15875" width="24.3984375" customWidth="1"/>
    <col min="15876" max="15876" width="21.296875" customWidth="1"/>
    <col min="15877" max="15877" width="3.09765625" customWidth="1"/>
    <col min="15878" max="15878" width="1.796875" customWidth="1"/>
    <col min="16130" max="16130" width="3.09765625" customWidth="1"/>
    <col min="16131" max="16131" width="24.3984375" customWidth="1"/>
    <col min="16132" max="16132" width="21.296875" customWidth="1"/>
    <col min="16133" max="16133" width="3.09765625" customWidth="1"/>
    <col min="16134" max="16134" width="1.796875" customWidth="1"/>
  </cols>
  <sheetData>
    <row r="1" spans="1:11" ht="17.399999999999999" x14ac:dyDescent="0.3">
      <c r="A1" s="1"/>
      <c r="B1" s="1"/>
      <c r="C1" s="2"/>
      <c r="D1" s="1"/>
      <c r="E1" s="1"/>
      <c r="F1" s="1"/>
      <c r="G1" s="1"/>
      <c r="H1" s="1"/>
      <c r="I1" s="1"/>
      <c r="J1" s="1"/>
      <c r="K1" s="1"/>
    </row>
    <row r="2" spans="1:11" x14ac:dyDescent="0.3">
      <c r="A2" s="1"/>
      <c r="B2" s="1"/>
      <c r="C2" s="1"/>
      <c r="D2" s="1"/>
      <c r="E2" s="1"/>
      <c r="F2" s="1"/>
      <c r="G2" s="1"/>
      <c r="H2" s="1"/>
      <c r="I2" s="1"/>
      <c r="J2" s="1"/>
      <c r="K2" s="1"/>
    </row>
    <row r="3" spans="1:11" ht="141" customHeight="1" x14ac:dyDescent="0.35">
      <c r="A3" s="1"/>
      <c r="B3" s="1"/>
      <c r="C3" s="90" t="s">
        <v>81</v>
      </c>
      <c r="D3" s="91"/>
      <c r="E3" s="91"/>
      <c r="F3" s="91"/>
      <c r="G3" s="91"/>
      <c r="H3" s="91"/>
      <c r="I3" s="91"/>
      <c r="J3" s="91"/>
      <c r="K3" s="1"/>
    </row>
    <row r="4" spans="1:11" x14ac:dyDescent="0.3">
      <c r="A4" s="1"/>
      <c r="B4" s="1"/>
      <c r="C4" s="3" t="s">
        <v>0</v>
      </c>
      <c r="D4" s="1"/>
      <c r="E4" s="1"/>
      <c r="F4" s="1"/>
      <c r="G4" s="1"/>
      <c r="H4" s="1"/>
      <c r="I4" s="1"/>
      <c r="J4" s="1"/>
      <c r="K4" s="1"/>
    </row>
    <row r="5" spans="1:11" ht="16.2" thickBot="1" x14ac:dyDescent="0.35">
      <c r="A5" s="1"/>
      <c r="B5" s="1"/>
      <c r="C5" s="3" t="s">
        <v>16</v>
      </c>
      <c r="D5" s="1"/>
      <c r="E5" s="1"/>
      <c r="F5" s="1"/>
      <c r="G5" s="1"/>
      <c r="H5" s="1"/>
      <c r="I5" s="1"/>
      <c r="J5" s="1"/>
      <c r="K5" s="1"/>
    </row>
    <row r="6" spans="1:11" x14ac:dyDescent="0.3">
      <c r="A6" s="1"/>
      <c r="B6" s="4"/>
      <c r="C6" s="5"/>
      <c r="D6" s="5"/>
      <c r="E6" s="6"/>
      <c r="F6" s="1"/>
      <c r="G6" s="1"/>
      <c r="H6" s="1"/>
      <c r="I6" s="1"/>
      <c r="J6" s="1"/>
      <c r="K6" s="1"/>
    </row>
    <row r="7" spans="1:11" x14ac:dyDescent="0.3">
      <c r="A7" s="1"/>
      <c r="B7" s="7"/>
      <c r="C7" s="8" t="s">
        <v>82</v>
      </c>
      <c r="D7" s="9">
        <v>6000</v>
      </c>
      <c r="E7" s="10"/>
      <c r="F7" s="1"/>
      <c r="G7" s="1"/>
      <c r="H7" s="1"/>
      <c r="I7" s="1"/>
      <c r="J7" s="1"/>
      <c r="K7" s="1"/>
    </row>
    <row r="8" spans="1:11" x14ac:dyDescent="0.3">
      <c r="A8" s="1"/>
      <c r="B8" s="7"/>
      <c r="C8" s="8" t="s">
        <v>83</v>
      </c>
      <c r="D8" s="11">
        <v>10</v>
      </c>
      <c r="E8" s="10"/>
      <c r="F8" s="1"/>
      <c r="G8" s="1"/>
      <c r="H8" s="1"/>
      <c r="I8" s="1"/>
      <c r="J8" s="1"/>
      <c r="K8" s="1"/>
    </row>
    <row r="9" spans="1:11" x14ac:dyDescent="0.3">
      <c r="A9" s="1"/>
      <c r="B9" s="7"/>
      <c r="C9" s="8" t="s">
        <v>84</v>
      </c>
      <c r="D9" s="12">
        <v>0.08</v>
      </c>
      <c r="E9" s="10"/>
      <c r="F9" s="1"/>
      <c r="G9" s="1"/>
      <c r="H9" s="1"/>
      <c r="I9" s="1"/>
      <c r="J9" s="1"/>
      <c r="K9" s="1"/>
    </row>
    <row r="10" spans="1:11" x14ac:dyDescent="0.3">
      <c r="A10" s="1"/>
      <c r="B10" s="7"/>
      <c r="C10" s="8" t="s">
        <v>85</v>
      </c>
      <c r="D10" s="12">
        <v>7.0000000000000007E-2</v>
      </c>
      <c r="E10" s="10"/>
      <c r="F10" s="1"/>
      <c r="G10" s="1"/>
      <c r="H10" s="1"/>
      <c r="I10" s="1"/>
      <c r="J10" s="1"/>
      <c r="K10" s="1"/>
    </row>
    <row r="11" spans="1:11" ht="16.2" thickBot="1" x14ac:dyDescent="0.35">
      <c r="A11" s="1"/>
      <c r="B11" s="13"/>
      <c r="C11" s="14"/>
      <c r="D11" s="14"/>
      <c r="E11" s="15"/>
      <c r="F11" s="1"/>
      <c r="G11" s="1"/>
      <c r="H11" s="1"/>
      <c r="I11" s="1"/>
      <c r="J11" s="1"/>
      <c r="K11" s="1"/>
    </row>
    <row r="12" spans="1:11" x14ac:dyDescent="0.3">
      <c r="A12" s="1"/>
      <c r="B12" s="1"/>
      <c r="C12" s="1"/>
      <c r="D12" s="1"/>
      <c r="E12" s="1"/>
      <c r="F12" s="1"/>
      <c r="G12" s="1"/>
      <c r="H12" s="1"/>
      <c r="I12" s="1"/>
      <c r="J12" s="1"/>
      <c r="K12" s="1"/>
    </row>
    <row r="13" spans="1:11" x14ac:dyDescent="0.3">
      <c r="A13" s="1"/>
      <c r="B13" s="1"/>
      <c r="C13" s="3" t="s">
        <v>28</v>
      </c>
      <c r="D13" s="1"/>
      <c r="E13" s="1"/>
      <c r="F13" s="1"/>
      <c r="G13" s="1"/>
      <c r="H13" s="1"/>
      <c r="I13" s="1"/>
      <c r="J13" s="1"/>
      <c r="K13" s="1"/>
    </row>
    <row r="14" spans="1:11" ht="16.2" thickBot="1" x14ac:dyDescent="0.35">
      <c r="A14" s="1"/>
      <c r="B14" s="1"/>
      <c r="C14" s="1"/>
      <c r="D14" s="1"/>
      <c r="E14" s="1"/>
      <c r="F14" s="1"/>
      <c r="G14" s="1"/>
      <c r="H14" s="1"/>
      <c r="I14" s="1"/>
      <c r="J14" s="1"/>
      <c r="K14" s="1"/>
    </row>
    <row r="15" spans="1:11" x14ac:dyDescent="0.3">
      <c r="A15" s="1"/>
      <c r="B15" s="16"/>
      <c r="C15" s="17"/>
      <c r="D15" s="17"/>
      <c r="E15" s="18"/>
      <c r="F15" s="1"/>
      <c r="G15" s="1"/>
      <c r="H15" s="1"/>
      <c r="I15" s="1"/>
      <c r="J15" s="1"/>
      <c r="K15" s="1"/>
    </row>
    <row r="16" spans="1:11" x14ac:dyDescent="0.3">
      <c r="A16" s="1"/>
      <c r="B16" s="19"/>
      <c r="C16" s="20" t="s">
        <v>86</v>
      </c>
      <c r="D16" s="51">
        <f>$D$8*(1-$D$9)</f>
        <v>9.2000000000000011</v>
      </c>
      <c r="E16" s="22"/>
      <c r="F16" s="68" t="s">
        <v>4</v>
      </c>
      <c r="G16" s="1" t="s">
        <v>125</v>
      </c>
      <c r="H16" s="1"/>
      <c r="I16" s="1"/>
      <c r="J16" s="1"/>
      <c r="K16" s="1"/>
    </row>
    <row r="17" spans="1:11" x14ac:dyDescent="0.3">
      <c r="A17" s="1"/>
      <c r="B17" s="19"/>
      <c r="C17" s="20"/>
      <c r="D17" s="21"/>
      <c r="E17" s="22"/>
      <c r="G17" s="1"/>
      <c r="H17" s="1"/>
      <c r="I17" s="1"/>
      <c r="J17" s="1"/>
      <c r="K17" s="1"/>
    </row>
    <row r="18" spans="1:11" x14ac:dyDescent="0.3">
      <c r="A18" s="1"/>
      <c r="B18" s="19"/>
      <c r="C18" s="20" t="s">
        <v>87</v>
      </c>
      <c r="D18" s="74">
        <f>D16*(1-$D$10)</f>
        <v>8.5560000000000009</v>
      </c>
      <c r="E18" s="22"/>
      <c r="F18" s="68" t="s">
        <v>5</v>
      </c>
      <c r="G18" s="1" t="s">
        <v>126</v>
      </c>
      <c r="H18" s="1"/>
      <c r="I18" s="1"/>
      <c r="J18" s="1"/>
      <c r="K18" s="1"/>
    </row>
    <row r="19" spans="1:11" x14ac:dyDescent="0.3">
      <c r="A19" s="1"/>
      <c r="B19" s="19"/>
      <c r="C19" s="20"/>
      <c r="D19" s="21"/>
      <c r="E19" s="22"/>
      <c r="F19" s="1"/>
      <c r="G19" s="1"/>
      <c r="H19" s="1"/>
      <c r="I19" s="1"/>
      <c r="J19" s="1"/>
      <c r="K19" s="1"/>
    </row>
    <row r="20" spans="1:11" x14ac:dyDescent="0.3">
      <c r="A20" s="1"/>
      <c r="B20" s="19"/>
      <c r="C20" s="20" t="s">
        <v>88</v>
      </c>
      <c r="D20" s="51">
        <f>$D$7*D18</f>
        <v>51336.000000000007</v>
      </c>
      <c r="E20" s="22"/>
      <c r="F20" s="68" t="s">
        <v>6</v>
      </c>
      <c r="G20" s="1" t="s">
        <v>127</v>
      </c>
      <c r="H20" s="1"/>
      <c r="I20" s="1"/>
      <c r="J20" s="1"/>
      <c r="K20" s="1"/>
    </row>
    <row r="21" spans="1:11" x14ac:dyDescent="0.3">
      <c r="A21" s="1"/>
      <c r="B21" s="19"/>
      <c r="C21" s="20"/>
      <c r="D21" s="23"/>
      <c r="E21" s="22"/>
      <c r="F21" s="1"/>
      <c r="G21" s="1"/>
      <c r="H21" s="1"/>
      <c r="I21" s="1"/>
      <c r="J21" s="1"/>
      <c r="K21" s="1"/>
    </row>
    <row r="22" spans="1:11" x14ac:dyDescent="0.3">
      <c r="A22" s="1"/>
      <c r="B22" s="19"/>
      <c r="C22" s="20" t="s">
        <v>89</v>
      </c>
      <c r="D22" s="96">
        <f>D20-($D$7*$D$8)</f>
        <v>-8663.9999999999927</v>
      </c>
      <c r="E22" s="22"/>
      <c r="F22" s="68" t="s">
        <v>11</v>
      </c>
      <c r="G22" s="1" t="s">
        <v>128</v>
      </c>
      <c r="H22" s="1"/>
      <c r="I22" s="1"/>
      <c r="J22" s="1"/>
      <c r="K22" s="1"/>
    </row>
    <row r="23" spans="1:11" ht="16.2" thickBot="1" x14ac:dyDescent="0.35">
      <c r="A23" s="1"/>
      <c r="B23" s="24"/>
      <c r="C23" s="25"/>
      <c r="D23" s="25"/>
      <c r="E23" s="26"/>
      <c r="F23" s="1"/>
      <c r="G23" s="1"/>
      <c r="H23" s="1"/>
      <c r="I23" s="1"/>
      <c r="J23" s="1"/>
      <c r="K23" s="1"/>
    </row>
    <row r="24" spans="1:11" x14ac:dyDescent="0.3">
      <c r="A24" s="1"/>
      <c r="B24" s="1"/>
      <c r="C24" s="1"/>
      <c r="D24" s="1"/>
      <c r="E24" s="1"/>
      <c r="F24" s="1"/>
      <c r="G24" s="1"/>
      <c r="H24" s="1"/>
      <c r="I24" s="1"/>
      <c r="J24" s="1"/>
      <c r="K24" s="1"/>
    </row>
    <row r="25" spans="1:11" x14ac:dyDescent="0.3">
      <c r="A25" s="1"/>
      <c r="B25" s="1"/>
      <c r="C25" s="1"/>
      <c r="D25" s="1"/>
      <c r="E25" s="1"/>
      <c r="F25" s="1"/>
      <c r="G25" s="1"/>
      <c r="H25" s="1"/>
      <c r="I25" s="1"/>
      <c r="J25" s="1"/>
      <c r="K25" s="1"/>
    </row>
    <row r="26" spans="1:11" x14ac:dyDescent="0.3">
      <c r="A26" s="1"/>
      <c r="B26" s="1"/>
      <c r="C26" s="1"/>
      <c r="D26" s="1"/>
      <c r="E26" s="1"/>
      <c r="F26" s="1"/>
      <c r="G26" s="1"/>
      <c r="H26" s="1"/>
      <c r="I26" s="1"/>
      <c r="J26" s="1"/>
      <c r="K26" s="1"/>
    </row>
    <row r="27" spans="1:11" x14ac:dyDescent="0.3">
      <c r="A27" s="1"/>
      <c r="B27" s="1"/>
      <c r="C27" s="1"/>
      <c r="D27" s="1"/>
      <c r="E27" s="1"/>
      <c r="F27" s="1"/>
      <c r="G27" s="1"/>
      <c r="H27" s="1"/>
      <c r="I27" s="1"/>
      <c r="J27" s="1"/>
      <c r="K27" s="1"/>
    </row>
    <row r="28" spans="1:11" x14ac:dyDescent="0.3">
      <c r="A28" s="1"/>
      <c r="B28" s="1"/>
      <c r="C28" s="1"/>
      <c r="D28" s="1"/>
      <c r="E28" s="1"/>
      <c r="F28" s="1"/>
      <c r="G28" s="1"/>
      <c r="H28" s="1"/>
      <c r="I28" s="1"/>
      <c r="J28" s="1"/>
      <c r="K28" s="1"/>
    </row>
    <row r="29" spans="1:11" x14ac:dyDescent="0.3">
      <c r="A29" s="1"/>
      <c r="B29" s="1"/>
      <c r="C29" s="1"/>
      <c r="D29" s="1"/>
      <c r="E29" s="1"/>
      <c r="F29" s="1"/>
      <c r="G29" s="1"/>
      <c r="H29" s="1"/>
      <c r="I29" s="1"/>
      <c r="J29" s="1"/>
      <c r="K29" s="1"/>
    </row>
    <row r="30" spans="1:11" x14ac:dyDescent="0.3">
      <c r="A30" s="1"/>
      <c r="B30" s="1"/>
      <c r="C30" s="1"/>
      <c r="D30" s="1"/>
      <c r="E30" s="1"/>
      <c r="F30" s="1"/>
      <c r="G30" s="1"/>
      <c r="H30" s="1"/>
      <c r="I30" s="1"/>
      <c r="J30" s="1"/>
      <c r="K30" s="1"/>
    </row>
    <row r="31" spans="1:11" x14ac:dyDescent="0.3">
      <c r="A31" s="1"/>
      <c r="B31" s="1"/>
      <c r="C31" s="1"/>
      <c r="D31" s="1"/>
      <c r="E31" s="1"/>
      <c r="F31" s="1"/>
      <c r="G31" s="1"/>
      <c r="H31" s="1"/>
      <c r="I31" s="1"/>
      <c r="J31" s="1"/>
      <c r="K31" s="1"/>
    </row>
    <row r="32" spans="1:11" x14ac:dyDescent="0.3">
      <c r="A32" s="1"/>
      <c r="B32" s="1"/>
      <c r="C32" s="1"/>
      <c r="D32" s="1"/>
      <c r="E32" s="1"/>
      <c r="F32" s="1"/>
      <c r="G32" s="1"/>
      <c r="H32" s="1"/>
      <c r="I32" s="1"/>
      <c r="J32" s="1"/>
      <c r="K32" s="1"/>
    </row>
    <row r="33" spans="1:11" x14ac:dyDescent="0.3">
      <c r="A33" s="1"/>
      <c r="B33" s="1"/>
      <c r="C33" s="1"/>
      <c r="D33" s="1"/>
      <c r="E33" s="1"/>
      <c r="F33" s="1"/>
      <c r="G33" s="1"/>
      <c r="H33" s="1"/>
      <c r="I33" s="1"/>
      <c r="J33" s="1"/>
      <c r="K33" s="1"/>
    </row>
    <row r="34" spans="1:11" x14ac:dyDescent="0.3">
      <c r="A34" s="1"/>
      <c r="B34" s="1"/>
      <c r="C34" s="1"/>
      <c r="D34" s="1"/>
      <c r="E34" s="1"/>
      <c r="F34" s="1"/>
      <c r="G34" s="1"/>
      <c r="H34" s="1"/>
      <c r="I34" s="1"/>
      <c r="J34" s="1"/>
      <c r="K34" s="1"/>
    </row>
    <row r="35" spans="1:11" x14ac:dyDescent="0.3">
      <c r="A35" s="1"/>
      <c r="B35" s="1"/>
      <c r="C35" s="1"/>
      <c r="D35" s="1"/>
      <c r="E35" s="1"/>
      <c r="F35" s="1"/>
      <c r="G35" s="1"/>
      <c r="H35" s="1"/>
      <c r="I35" s="1"/>
      <c r="J35" s="1"/>
      <c r="K35" s="1"/>
    </row>
    <row r="36" spans="1:11" x14ac:dyDescent="0.3">
      <c r="A36" s="1"/>
      <c r="B36" s="1"/>
      <c r="C36" s="1"/>
      <c r="D36" s="1"/>
      <c r="E36" s="1"/>
      <c r="F36" s="1"/>
      <c r="G36" s="1"/>
      <c r="H36" s="1"/>
      <c r="I36" s="1"/>
      <c r="J36" s="1"/>
      <c r="K36" s="1"/>
    </row>
    <row r="37" spans="1:11" x14ac:dyDescent="0.3">
      <c r="A37" s="1"/>
      <c r="B37" s="1"/>
      <c r="C37" s="1"/>
      <c r="D37" s="1"/>
      <c r="E37" s="1"/>
      <c r="F37" s="1"/>
      <c r="G37" s="1"/>
      <c r="H37" s="1"/>
      <c r="I37" s="1"/>
      <c r="J37" s="1"/>
      <c r="K37" s="1"/>
    </row>
    <row r="38" spans="1:11" x14ac:dyDescent="0.3">
      <c r="A38" s="1"/>
      <c r="B38" s="1"/>
      <c r="C38" s="1"/>
      <c r="D38" s="1"/>
      <c r="E38" s="1"/>
      <c r="F38" s="1"/>
      <c r="G38" s="1"/>
      <c r="H38" s="1"/>
      <c r="I38" s="1"/>
      <c r="J38" s="1"/>
      <c r="K38" s="1"/>
    </row>
    <row r="39" spans="1:11" x14ac:dyDescent="0.3">
      <c r="A39" s="1"/>
      <c r="B39" s="1"/>
      <c r="C39" s="1"/>
      <c r="D39" s="1"/>
      <c r="E39" s="1"/>
      <c r="F39" s="1"/>
      <c r="G39" s="1"/>
      <c r="H39" s="1"/>
      <c r="I39" s="1"/>
      <c r="J39" s="1"/>
      <c r="K39" s="1"/>
    </row>
    <row r="40" spans="1:11" x14ac:dyDescent="0.3">
      <c r="A40" s="1"/>
      <c r="B40" s="1"/>
      <c r="C40" s="1"/>
      <c r="D40" s="1"/>
      <c r="E40" s="1"/>
      <c r="F40" s="1"/>
      <c r="G40" s="1"/>
      <c r="H40" s="1"/>
      <c r="I40" s="1"/>
      <c r="J40" s="1"/>
      <c r="K40" s="1"/>
    </row>
    <row r="41" spans="1:11" x14ac:dyDescent="0.3">
      <c r="A41" s="1"/>
      <c r="B41" s="1"/>
      <c r="C41" s="1"/>
      <c r="D41" s="1"/>
      <c r="E41" s="1"/>
      <c r="F41" s="1"/>
      <c r="G41" s="1"/>
      <c r="H41" s="1"/>
      <c r="I41" s="1"/>
      <c r="J41" s="1"/>
      <c r="K41" s="1"/>
    </row>
    <row r="42" spans="1:11" x14ac:dyDescent="0.3">
      <c r="A42" s="1"/>
      <c r="B42" s="1"/>
      <c r="C42" s="1"/>
      <c r="D42" s="1"/>
      <c r="E42" s="1"/>
      <c r="F42" s="1"/>
      <c r="G42" s="1"/>
      <c r="H42" s="1"/>
      <c r="I42" s="1"/>
      <c r="J42" s="1"/>
      <c r="K42" s="1"/>
    </row>
    <row r="43" spans="1:11" x14ac:dyDescent="0.3">
      <c r="A43" s="1"/>
      <c r="B43" s="1"/>
      <c r="C43" s="1"/>
      <c r="D43" s="1"/>
      <c r="E43" s="1"/>
      <c r="F43" s="1"/>
      <c r="G43" s="1"/>
      <c r="H43" s="1"/>
      <c r="I43" s="1"/>
      <c r="J43" s="1"/>
      <c r="K43" s="1"/>
    </row>
    <row r="44" spans="1:11" x14ac:dyDescent="0.3">
      <c r="A44" s="1"/>
      <c r="B44" s="1"/>
      <c r="C44" s="1"/>
      <c r="D44" s="1"/>
      <c r="E44" s="1"/>
      <c r="F44" s="1"/>
      <c r="G44" s="1"/>
      <c r="H44" s="1"/>
      <c r="I44" s="1"/>
      <c r="J44" s="1"/>
      <c r="K44" s="1"/>
    </row>
    <row r="45" spans="1:11" x14ac:dyDescent="0.3">
      <c r="A45" s="1"/>
      <c r="B45" s="1"/>
      <c r="C45" s="1"/>
      <c r="D45" s="1"/>
      <c r="E45" s="1"/>
      <c r="F45" s="1"/>
      <c r="G45" s="1"/>
      <c r="H45" s="1"/>
      <c r="I45" s="1"/>
      <c r="J45" s="1"/>
      <c r="K45" s="1"/>
    </row>
    <row r="46" spans="1:11" x14ac:dyDescent="0.3">
      <c r="A46" s="1"/>
      <c r="B46" s="1"/>
      <c r="C46" s="1"/>
      <c r="D46" s="1"/>
      <c r="E46" s="1"/>
      <c r="F46" s="1"/>
      <c r="G46" s="1"/>
      <c r="H46" s="1"/>
      <c r="I46" s="1"/>
      <c r="J46" s="1"/>
      <c r="K46" s="1"/>
    </row>
    <row r="47" spans="1:11" x14ac:dyDescent="0.3">
      <c r="A47" s="1"/>
      <c r="B47" s="1"/>
      <c r="C47" s="1"/>
      <c r="D47" s="1"/>
      <c r="E47" s="1"/>
      <c r="F47" s="1"/>
      <c r="G47" s="1"/>
      <c r="H47" s="1"/>
      <c r="I47" s="1"/>
      <c r="J47" s="1"/>
      <c r="K47" s="1"/>
    </row>
    <row r="48" spans="1:11" x14ac:dyDescent="0.3">
      <c r="A48" s="1"/>
      <c r="B48" s="1"/>
      <c r="C48" s="1"/>
      <c r="D48" s="1"/>
      <c r="E48" s="1"/>
      <c r="F48" s="1"/>
      <c r="G48" s="1"/>
      <c r="H48" s="1"/>
      <c r="I48" s="1"/>
      <c r="J48" s="1"/>
      <c r="K48" s="1"/>
    </row>
    <row r="49" spans="1:11" x14ac:dyDescent="0.3">
      <c r="A49" s="1"/>
      <c r="B49" s="1"/>
      <c r="C49" s="1"/>
      <c r="D49" s="1"/>
      <c r="E49" s="1"/>
      <c r="F49" s="1"/>
      <c r="G49" s="1"/>
      <c r="H49" s="1"/>
      <c r="I49" s="1"/>
      <c r="J49" s="1"/>
      <c r="K49" s="1"/>
    </row>
    <row r="50" spans="1:11" x14ac:dyDescent="0.3">
      <c r="A50" s="1"/>
      <c r="B50" s="1"/>
      <c r="C50" s="1"/>
      <c r="D50" s="1"/>
      <c r="E50" s="1"/>
      <c r="F50" s="1"/>
      <c r="G50" s="1"/>
      <c r="H50" s="1"/>
      <c r="I50" s="1"/>
      <c r="J50" s="1"/>
      <c r="K50" s="1"/>
    </row>
    <row r="51" spans="1:11" x14ac:dyDescent="0.3">
      <c r="A51" s="1"/>
      <c r="B51" s="1"/>
      <c r="C51" s="1"/>
      <c r="D51" s="1"/>
      <c r="E51" s="1"/>
      <c r="F51" s="1"/>
      <c r="G51" s="1"/>
      <c r="H51" s="1"/>
      <c r="I51" s="1"/>
      <c r="J51" s="1"/>
      <c r="K51" s="1"/>
    </row>
    <row r="52" spans="1:11" x14ac:dyDescent="0.3">
      <c r="A52" s="1"/>
      <c r="B52" s="1"/>
      <c r="C52" s="1"/>
      <c r="D52" s="1"/>
      <c r="E52" s="1"/>
      <c r="F52" s="1"/>
      <c r="G52" s="1"/>
      <c r="H52" s="1"/>
      <c r="I52" s="1"/>
      <c r="J52" s="1"/>
      <c r="K52" s="1"/>
    </row>
    <row r="53" spans="1:11" x14ac:dyDescent="0.3">
      <c r="A53" s="1"/>
      <c r="B53" s="1"/>
      <c r="C53" s="1"/>
      <c r="D53" s="1"/>
      <c r="E53" s="1"/>
      <c r="F53" s="1"/>
      <c r="G53" s="1"/>
      <c r="H53" s="1"/>
      <c r="I53" s="1"/>
      <c r="J53" s="1"/>
      <c r="K53" s="1"/>
    </row>
    <row r="54" spans="1:11" x14ac:dyDescent="0.3">
      <c r="A54" s="1"/>
      <c r="B54" s="1"/>
      <c r="C54" s="1"/>
      <c r="D54" s="1"/>
      <c r="E54" s="1"/>
      <c r="F54" s="1"/>
      <c r="G54" s="1"/>
      <c r="H54" s="1"/>
      <c r="I54" s="1"/>
      <c r="J54" s="1"/>
      <c r="K54" s="1"/>
    </row>
    <row r="55" spans="1:11" x14ac:dyDescent="0.3">
      <c r="A55" s="1"/>
      <c r="B55" s="1"/>
      <c r="C55" s="1"/>
      <c r="D55" s="1"/>
      <c r="E55" s="1"/>
      <c r="F55" s="1"/>
      <c r="G55" s="1"/>
      <c r="H55" s="1"/>
      <c r="I55" s="1"/>
      <c r="J55" s="1"/>
      <c r="K55" s="1"/>
    </row>
    <row r="56" spans="1:11" x14ac:dyDescent="0.3">
      <c r="A56" s="1"/>
      <c r="B56" s="1"/>
      <c r="C56" s="1"/>
      <c r="D56" s="1"/>
      <c r="E56" s="1"/>
      <c r="F56" s="1"/>
      <c r="G56" s="1"/>
      <c r="H56" s="1"/>
      <c r="I56" s="1"/>
      <c r="J56" s="1"/>
      <c r="K56" s="1"/>
    </row>
    <row r="57" spans="1:11" x14ac:dyDescent="0.3">
      <c r="A57" s="1"/>
      <c r="B57" s="1"/>
      <c r="C57" s="1"/>
      <c r="D57" s="1"/>
      <c r="E57" s="1"/>
      <c r="F57" s="1"/>
      <c r="G57" s="1"/>
      <c r="H57" s="1"/>
      <c r="I57" s="1"/>
      <c r="J57" s="1"/>
      <c r="K57" s="1"/>
    </row>
    <row r="58" spans="1:11" x14ac:dyDescent="0.3">
      <c r="A58" s="1"/>
      <c r="B58" s="1"/>
      <c r="C58" s="1"/>
      <c r="D58" s="1"/>
      <c r="E58" s="1"/>
      <c r="F58" s="1"/>
      <c r="G58" s="1"/>
      <c r="H58" s="1"/>
      <c r="I58" s="1"/>
      <c r="J58" s="1"/>
      <c r="K58" s="1"/>
    </row>
    <row r="59" spans="1:11" x14ac:dyDescent="0.3">
      <c r="A59" s="1"/>
      <c r="B59" s="1"/>
      <c r="C59" s="1"/>
      <c r="D59" s="1"/>
      <c r="E59" s="1"/>
      <c r="F59" s="1"/>
      <c r="G59" s="1"/>
      <c r="H59" s="1"/>
      <c r="I59" s="1"/>
      <c r="J59" s="1"/>
      <c r="K59" s="1"/>
    </row>
    <row r="60" spans="1:11" x14ac:dyDescent="0.3">
      <c r="A60" s="1"/>
      <c r="B60" s="1"/>
      <c r="C60" s="1"/>
      <c r="D60" s="1"/>
      <c r="E60" s="1"/>
      <c r="F60" s="1"/>
      <c r="G60" s="1"/>
      <c r="H60" s="1"/>
      <c r="I60" s="1"/>
      <c r="J60" s="1"/>
      <c r="K60" s="1"/>
    </row>
    <row r="61" spans="1:11" x14ac:dyDescent="0.3">
      <c r="A61" s="1"/>
      <c r="B61" s="1"/>
      <c r="C61" s="1"/>
      <c r="D61" s="1"/>
      <c r="E61" s="1"/>
      <c r="F61" s="1"/>
      <c r="G61" s="1"/>
      <c r="H61" s="1"/>
      <c r="I61" s="1"/>
      <c r="J61" s="1"/>
      <c r="K61" s="1"/>
    </row>
    <row r="62" spans="1:11" x14ac:dyDescent="0.3">
      <c r="A62" s="1"/>
      <c r="B62" s="1"/>
      <c r="C62" s="1"/>
      <c r="D62" s="1"/>
      <c r="E62" s="1"/>
      <c r="F62" s="1"/>
      <c r="G62" s="1"/>
      <c r="H62" s="1"/>
      <c r="I62" s="1"/>
      <c r="J62" s="1"/>
      <c r="K62" s="1"/>
    </row>
    <row r="63" spans="1:11" x14ac:dyDescent="0.3">
      <c r="A63" s="1"/>
      <c r="B63" s="1"/>
      <c r="C63" s="1"/>
      <c r="D63" s="1"/>
      <c r="E63" s="1"/>
      <c r="F63" s="1"/>
      <c r="G63" s="1"/>
      <c r="H63" s="1"/>
      <c r="I63" s="1"/>
      <c r="J63" s="1"/>
      <c r="K63" s="1"/>
    </row>
    <row r="64" spans="1:11" x14ac:dyDescent="0.3">
      <c r="A64" s="1"/>
      <c r="B64" s="1"/>
      <c r="C64" s="1"/>
      <c r="D64" s="1"/>
      <c r="E64" s="1"/>
      <c r="F64" s="1"/>
      <c r="G64" s="1"/>
      <c r="H64" s="1"/>
      <c r="I64" s="1"/>
      <c r="J64" s="1"/>
      <c r="K64" s="1"/>
    </row>
    <row r="65" spans="1:11" x14ac:dyDescent="0.3">
      <c r="A65" s="1"/>
      <c r="B65" s="1"/>
      <c r="C65" s="1"/>
      <c r="D65" s="1"/>
      <c r="E65" s="1"/>
      <c r="F65" s="1"/>
      <c r="G65" s="1"/>
      <c r="H65" s="1"/>
      <c r="I65" s="1"/>
      <c r="J65" s="1"/>
      <c r="K65" s="1"/>
    </row>
    <row r="66" spans="1:11" x14ac:dyDescent="0.3">
      <c r="A66" s="1"/>
      <c r="B66" s="1"/>
      <c r="C66" s="1"/>
      <c r="D66" s="1"/>
      <c r="E66" s="1"/>
      <c r="F66" s="1"/>
      <c r="G66" s="1"/>
      <c r="H66" s="1"/>
      <c r="I66" s="1"/>
      <c r="J66" s="1"/>
      <c r="K66" s="1"/>
    </row>
    <row r="67" spans="1:11" x14ac:dyDescent="0.3">
      <c r="A67" s="1"/>
      <c r="B67" s="1"/>
      <c r="C67" s="1"/>
      <c r="D67" s="1"/>
      <c r="E67" s="1"/>
      <c r="F67" s="1"/>
      <c r="G67" s="1"/>
      <c r="H67" s="1"/>
      <c r="I67" s="1"/>
      <c r="J67" s="1"/>
      <c r="K67" s="1"/>
    </row>
    <row r="68" spans="1:11" x14ac:dyDescent="0.3">
      <c r="A68" s="1"/>
      <c r="B68" s="1"/>
      <c r="C68" s="1"/>
      <c r="D68" s="1"/>
      <c r="E68" s="1"/>
      <c r="F68" s="1"/>
      <c r="G68" s="1"/>
      <c r="H68" s="1"/>
      <c r="I68" s="1"/>
      <c r="J68" s="1"/>
      <c r="K68" s="1"/>
    </row>
    <row r="69" spans="1:11" x14ac:dyDescent="0.3">
      <c r="A69" s="1"/>
      <c r="B69" s="1"/>
      <c r="C69" s="1"/>
      <c r="D69" s="1"/>
      <c r="E69" s="1"/>
      <c r="F69" s="1"/>
      <c r="G69" s="1"/>
      <c r="H69" s="1"/>
      <c r="I69" s="1"/>
      <c r="J69" s="1"/>
      <c r="K69" s="1"/>
    </row>
    <row r="70" spans="1:11" x14ac:dyDescent="0.3">
      <c r="A70" s="1"/>
      <c r="B70" s="1"/>
      <c r="C70" s="1"/>
      <c r="D70" s="1"/>
      <c r="E70" s="1"/>
      <c r="F70" s="1"/>
      <c r="G70" s="1"/>
      <c r="H70" s="1"/>
      <c r="I70" s="1"/>
      <c r="J70" s="1"/>
      <c r="K70" s="1"/>
    </row>
    <row r="71" spans="1:11" x14ac:dyDescent="0.3">
      <c r="A71" s="1"/>
      <c r="B71" s="1"/>
      <c r="C71" s="1"/>
      <c r="D71" s="1"/>
      <c r="E71" s="1"/>
      <c r="F71" s="1"/>
      <c r="G71" s="1"/>
      <c r="H71" s="1"/>
      <c r="I71" s="1"/>
      <c r="J71" s="1"/>
      <c r="K71" s="1"/>
    </row>
    <row r="72" spans="1:11" x14ac:dyDescent="0.3">
      <c r="A72" s="1"/>
      <c r="B72" s="1"/>
      <c r="C72" s="1"/>
      <c r="D72" s="1"/>
      <c r="E72" s="1"/>
      <c r="F72" s="1"/>
      <c r="G72" s="1"/>
      <c r="H72" s="1"/>
      <c r="I72" s="1"/>
      <c r="J72" s="1"/>
      <c r="K72" s="1"/>
    </row>
    <row r="73" spans="1:11" x14ac:dyDescent="0.3">
      <c r="A73" s="1"/>
      <c r="B73" s="1"/>
      <c r="C73" s="1"/>
      <c r="D73" s="1"/>
      <c r="E73" s="1"/>
      <c r="F73" s="1"/>
      <c r="G73" s="1"/>
      <c r="H73" s="1"/>
      <c r="I73" s="1"/>
      <c r="J73" s="1"/>
      <c r="K73" s="1"/>
    </row>
    <row r="74" spans="1:11" x14ac:dyDescent="0.3">
      <c r="A74" s="1"/>
      <c r="B74" s="1"/>
      <c r="C74" s="1"/>
      <c r="D74" s="1"/>
      <c r="E74" s="1"/>
      <c r="F74" s="1"/>
      <c r="G74" s="1"/>
      <c r="H74" s="1"/>
      <c r="I74" s="1"/>
      <c r="J74" s="1"/>
      <c r="K74" s="1"/>
    </row>
    <row r="75" spans="1:11" x14ac:dyDescent="0.3">
      <c r="A75" s="1"/>
      <c r="B75" s="1"/>
      <c r="C75" s="1"/>
      <c r="D75" s="1"/>
      <c r="E75" s="1"/>
      <c r="F75" s="1"/>
      <c r="G75" s="1"/>
      <c r="H75" s="1"/>
      <c r="I75" s="1"/>
      <c r="J75" s="1"/>
      <c r="K75" s="1"/>
    </row>
    <row r="76" spans="1:11" x14ac:dyDescent="0.3">
      <c r="A76" s="1"/>
      <c r="B76" s="1"/>
      <c r="C76" s="1"/>
      <c r="D76" s="1"/>
      <c r="E76" s="1"/>
      <c r="F76" s="1"/>
      <c r="G76" s="1"/>
      <c r="H76" s="1"/>
      <c r="I76" s="1"/>
      <c r="J76" s="1"/>
      <c r="K76" s="1"/>
    </row>
    <row r="77" spans="1:11" x14ac:dyDescent="0.3">
      <c r="A77" s="1"/>
      <c r="B77" s="1"/>
      <c r="C77" s="1"/>
      <c r="D77" s="1"/>
      <c r="E77" s="1"/>
      <c r="F77" s="1"/>
      <c r="G77" s="1"/>
      <c r="H77" s="1"/>
      <c r="I77" s="1"/>
      <c r="J77" s="1"/>
      <c r="K77" s="1"/>
    </row>
    <row r="78" spans="1:11" x14ac:dyDescent="0.3">
      <c r="A78" s="1"/>
      <c r="B78" s="1"/>
      <c r="C78" s="1"/>
      <c r="D78" s="1"/>
      <c r="E78" s="1"/>
      <c r="F78" s="1"/>
      <c r="G78" s="1"/>
      <c r="H78" s="1"/>
      <c r="I78" s="1"/>
      <c r="J78" s="1"/>
      <c r="K78" s="1"/>
    </row>
    <row r="79" spans="1:11" x14ac:dyDescent="0.3">
      <c r="A79" s="1"/>
      <c r="B79" s="1"/>
      <c r="C79" s="1"/>
      <c r="D79" s="1"/>
      <c r="E79" s="1"/>
      <c r="F79" s="1"/>
      <c r="G79" s="1"/>
      <c r="H79" s="1"/>
      <c r="I79" s="1"/>
      <c r="J79" s="1"/>
      <c r="K79" s="1"/>
    </row>
    <row r="80" spans="1:11" x14ac:dyDescent="0.3">
      <c r="A80" s="1"/>
      <c r="B80" s="1"/>
      <c r="C80" s="1"/>
      <c r="D80" s="1"/>
      <c r="E80" s="1"/>
      <c r="F80" s="1"/>
      <c r="G80" s="1"/>
      <c r="H80" s="1"/>
      <c r="I80" s="1"/>
      <c r="J80" s="1"/>
      <c r="K80" s="1"/>
    </row>
    <row r="81" spans="1:11" x14ac:dyDescent="0.3">
      <c r="A81" s="1"/>
      <c r="B81" s="1"/>
      <c r="C81" s="1"/>
      <c r="D81" s="1"/>
      <c r="E81" s="1"/>
      <c r="F81" s="1"/>
      <c r="G81" s="1"/>
      <c r="H81" s="1"/>
      <c r="I81" s="1"/>
      <c r="J81" s="1"/>
      <c r="K81" s="1"/>
    </row>
    <row r="82" spans="1:11" x14ac:dyDescent="0.3">
      <c r="A82" s="1"/>
      <c r="B82" s="1"/>
      <c r="C82" s="1"/>
      <c r="D82" s="1"/>
      <c r="E82" s="1"/>
      <c r="F82" s="1"/>
      <c r="G82" s="1"/>
      <c r="H82" s="1"/>
      <c r="I82" s="1"/>
      <c r="J82" s="1"/>
      <c r="K82" s="1"/>
    </row>
    <row r="83" spans="1:11" x14ac:dyDescent="0.3">
      <c r="A83" s="1"/>
      <c r="B83" s="1"/>
      <c r="C83" s="1"/>
      <c r="D83" s="1"/>
      <c r="E83" s="1"/>
      <c r="F83" s="1"/>
      <c r="G83" s="1"/>
      <c r="H83" s="1"/>
      <c r="I83" s="1"/>
      <c r="J83" s="1"/>
      <c r="K83" s="1"/>
    </row>
    <row r="84" spans="1:11" x14ac:dyDescent="0.3">
      <c r="A84" s="1"/>
      <c r="B84" s="1"/>
      <c r="C84" s="1"/>
      <c r="D84" s="1"/>
      <c r="E84" s="1"/>
      <c r="F84" s="1"/>
      <c r="G84" s="1"/>
      <c r="H84" s="1"/>
      <c r="I84" s="1"/>
      <c r="J84" s="1"/>
      <c r="K84" s="1"/>
    </row>
    <row r="85" spans="1:11" x14ac:dyDescent="0.3">
      <c r="A85" s="1"/>
      <c r="B85" s="1"/>
      <c r="C85" s="1"/>
      <c r="D85" s="1"/>
      <c r="E85" s="1"/>
      <c r="F85" s="1"/>
      <c r="G85" s="1"/>
      <c r="H85" s="1"/>
      <c r="I85" s="1"/>
      <c r="J85" s="1"/>
      <c r="K85" s="1"/>
    </row>
    <row r="86" spans="1:11" x14ac:dyDescent="0.3">
      <c r="A86" s="1"/>
      <c r="B86" s="1"/>
      <c r="C86" s="1"/>
      <c r="D86" s="1"/>
      <c r="E86" s="1"/>
      <c r="F86" s="1"/>
      <c r="G86" s="1"/>
      <c r="H86" s="1"/>
      <c r="I86" s="1"/>
      <c r="J86" s="1"/>
      <c r="K86" s="1"/>
    </row>
    <row r="87" spans="1:11" x14ac:dyDescent="0.3">
      <c r="A87" s="1"/>
      <c r="B87" s="1"/>
      <c r="C87" s="1"/>
      <c r="D87" s="1"/>
      <c r="E87" s="1"/>
      <c r="F87" s="1"/>
      <c r="G87" s="1"/>
      <c r="H87" s="1"/>
      <c r="I87" s="1"/>
      <c r="J87" s="1"/>
      <c r="K87" s="1"/>
    </row>
    <row r="88" spans="1:11" x14ac:dyDescent="0.3">
      <c r="A88" s="1"/>
      <c r="B88" s="1"/>
      <c r="C88" s="1"/>
      <c r="D88" s="1"/>
      <c r="E88" s="1"/>
      <c r="F88" s="1"/>
      <c r="G88" s="1"/>
      <c r="H88" s="1"/>
      <c r="I88" s="1"/>
      <c r="J88" s="1"/>
      <c r="K88" s="1"/>
    </row>
    <row r="89" spans="1:11" x14ac:dyDescent="0.3">
      <c r="A89" s="1"/>
      <c r="B89" s="1"/>
      <c r="C89" s="1"/>
      <c r="D89" s="1"/>
      <c r="E89" s="1"/>
      <c r="F89" s="1"/>
      <c r="G89" s="1"/>
      <c r="H89" s="1"/>
      <c r="I89" s="1"/>
      <c r="J89" s="1"/>
      <c r="K89" s="1"/>
    </row>
    <row r="90" spans="1:11" x14ac:dyDescent="0.3">
      <c r="A90" s="1"/>
      <c r="B90" s="1"/>
      <c r="C90" s="1"/>
      <c r="D90" s="1"/>
      <c r="E90" s="1"/>
      <c r="F90" s="1"/>
      <c r="G90" s="1"/>
      <c r="H90" s="1"/>
      <c r="I90" s="1"/>
      <c r="J90" s="1"/>
      <c r="K90" s="1"/>
    </row>
    <row r="91" spans="1:11" x14ac:dyDescent="0.3">
      <c r="A91" s="1"/>
      <c r="B91" s="1"/>
      <c r="C91" s="1"/>
      <c r="D91" s="1"/>
      <c r="E91" s="1"/>
      <c r="F91" s="1"/>
      <c r="G91" s="1"/>
      <c r="H91" s="1"/>
      <c r="I91" s="1"/>
      <c r="J91" s="1"/>
      <c r="K91" s="1"/>
    </row>
    <row r="92" spans="1:11" x14ac:dyDescent="0.3">
      <c r="A92" s="1"/>
      <c r="B92" s="1"/>
      <c r="C92" s="1"/>
      <c r="D92" s="1"/>
      <c r="E92" s="1"/>
      <c r="F92" s="1"/>
      <c r="G92" s="1"/>
      <c r="H92" s="1"/>
      <c r="I92" s="1"/>
      <c r="J92" s="1"/>
      <c r="K92" s="1"/>
    </row>
    <row r="93" spans="1:11" x14ac:dyDescent="0.3">
      <c r="A93" s="1"/>
      <c r="B93" s="1"/>
      <c r="C93" s="1"/>
      <c r="D93" s="1"/>
      <c r="E93" s="1"/>
      <c r="F93" s="1"/>
      <c r="G93" s="1"/>
      <c r="H93" s="1"/>
      <c r="I93" s="1"/>
      <c r="J93" s="1"/>
      <c r="K93" s="1"/>
    </row>
    <row r="94" spans="1:11" x14ac:dyDescent="0.3">
      <c r="A94" s="1"/>
      <c r="B94" s="1"/>
      <c r="C94" s="1"/>
      <c r="D94" s="1"/>
      <c r="E94" s="1"/>
      <c r="F94" s="1"/>
      <c r="G94" s="1"/>
      <c r="H94" s="1"/>
      <c r="I94" s="1"/>
      <c r="J94" s="1"/>
      <c r="K94" s="1"/>
    </row>
    <row r="95" spans="1:11" x14ac:dyDescent="0.3">
      <c r="A95" s="1"/>
      <c r="B95" s="1"/>
      <c r="C95" s="1"/>
      <c r="D95" s="1"/>
      <c r="E95" s="1"/>
      <c r="F95" s="1"/>
      <c r="G95" s="1"/>
      <c r="H95" s="1"/>
      <c r="I95" s="1"/>
      <c r="J95" s="1"/>
      <c r="K95" s="1"/>
    </row>
    <row r="96" spans="1:11" x14ac:dyDescent="0.3">
      <c r="A96" s="1"/>
      <c r="B96" s="1"/>
      <c r="C96" s="1"/>
      <c r="D96" s="1"/>
      <c r="E96" s="1"/>
      <c r="F96" s="1"/>
      <c r="G96" s="1"/>
      <c r="H96" s="1"/>
      <c r="I96" s="1"/>
      <c r="J96" s="1"/>
      <c r="K96" s="1"/>
    </row>
    <row r="97" spans="1:11" x14ac:dyDescent="0.3">
      <c r="A97" s="1"/>
      <c r="B97" s="1"/>
      <c r="C97" s="1"/>
      <c r="D97" s="1"/>
      <c r="E97" s="1"/>
      <c r="F97" s="1"/>
      <c r="G97" s="1"/>
      <c r="H97" s="1"/>
      <c r="I97" s="1"/>
      <c r="J97" s="1"/>
      <c r="K97" s="1"/>
    </row>
    <row r="98" spans="1:11" x14ac:dyDescent="0.3">
      <c r="A98" s="1"/>
      <c r="B98" s="1"/>
      <c r="C98" s="1"/>
      <c r="D98" s="1"/>
      <c r="E98" s="1"/>
      <c r="F98" s="1"/>
      <c r="G98" s="1"/>
      <c r="H98" s="1"/>
      <c r="I98" s="1"/>
      <c r="J98" s="1"/>
      <c r="K98" s="1"/>
    </row>
    <row r="99" spans="1:11" x14ac:dyDescent="0.3">
      <c r="A99" s="1"/>
      <c r="B99" s="1"/>
      <c r="C99" s="1"/>
      <c r="D99" s="1"/>
      <c r="E99" s="1"/>
      <c r="F99" s="1"/>
      <c r="G99" s="1"/>
      <c r="H99" s="1"/>
      <c r="I99" s="1"/>
      <c r="J99" s="1"/>
      <c r="K99" s="1"/>
    </row>
    <row r="100" spans="1:11" x14ac:dyDescent="0.3">
      <c r="A100" s="1"/>
      <c r="B100" s="1"/>
      <c r="C100" s="1"/>
      <c r="D100" s="1"/>
      <c r="E100" s="1"/>
      <c r="F100" s="1"/>
      <c r="G100" s="1"/>
      <c r="H100" s="1"/>
      <c r="I100" s="1"/>
      <c r="J100" s="1"/>
      <c r="K100" s="1"/>
    </row>
    <row r="101" spans="1:11" x14ac:dyDescent="0.3">
      <c r="A101" s="1"/>
      <c r="B101" s="1"/>
      <c r="C101" s="1"/>
      <c r="D101" s="1"/>
      <c r="E101" s="1"/>
      <c r="F101" s="1"/>
      <c r="G101" s="1"/>
      <c r="H101" s="1"/>
      <c r="I101" s="1"/>
      <c r="J101" s="1"/>
      <c r="K101" s="1"/>
    </row>
    <row r="102" spans="1:11" x14ac:dyDescent="0.3">
      <c r="A102" s="1"/>
      <c r="B102" s="1"/>
      <c r="C102" s="1"/>
      <c r="D102" s="1"/>
      <c r="E102" s="1"/>
      <c r="F102" s="1"/>
      <c r="G102" s="1"/>
      <c r="H102" s="1"/>
      <c r="I102" s="1"/>
      <c r="J102" s="1"/>
      <c r="K102" s="1"/>
    </row>
    <row r="103" spans="1:11" x14ac:dyDescent="0.3">
      <c r="A103" s="1"/>
      <c r="B103" s="1"/>
      <c r="C103" s="1"/>
      <c r="D103" s="1"/>
      <c r="E103" s="1"/>
      <c r="F103" s="1"/>
      <c r="G103" s="1"/>
      <c r="H103" s="1"/>
      <c r="I103" s="1"/>
      <c r="J103" s="1"/>
      <c r="K103" s="1"/>
    </row>
    <row r="104" spans="1:11" x14ac:dyDescent="0.3">
      <c r="A104" s="1"/>
      <c r="B104" s="1"/>
      <c r="C104" s="1"/>
      <c r="D104" s="1"/>
      <c r="E104" s="1"/>
      <c r="F104" s="1"/>
      <c r="G104" s="1"/>
      <c r="H104" s="1"/>
      <c r="I104" s="1"/>
      <c r="J104" s="1"/>
      <c r="K104" s="1"/>
    </row>
    <row r="105" spans="1:11" x14ac:dyDescent="0.3">
      <c r="A105" s="1"/>
      <c r="B105" s="1"/>
      <c r="C105" s="1"/>
      <c r="D105" s="1"/>
      <c r="E105" s="1"/>
      <c r="F105" s="1"/>
      <c r="G105" s="1"/>
      <c r="H105" s="1"/>
      <c r="I105" s="1"/>
      <c r="J105" s="1"/>
      <c r="K105" s="1"/>
    </row>
    <row r="106" spans="1:11" x14ac:dyDescent="0.3">
      <c r="A106" s="1"/>
      <c r="B106" s="1"/>
      <c r="C106" s="1"/>
      <c r="D106" s="1"/>
      <c r="E106" s="1"/>
      <c r="F106" s="1"/>
      <c r="G106" s="1"/>
      <c r="H106" s="1"/>
      <c r="I106" s="1"/>
      <c r="J106" s="1"/>
      <c r="K106" s="1"/>
    </row>
    <row r="107" spans="1:11" x14ac:dyDescent="0.3">
      <c r="A107" s="1"/>
      <c r="B107" s="1"/>
      <c r="C107" s="1"/>
      <c r="D107" s="1"/>
      <c r="E107" s="1"/>
      <c r="F107" s="1"/>
      <c r="G107" s="1"/>
      <c r="H107" s="1"/>
      <c r="I107" s="1"/>
      <c r="J107" s="1"/>
      <c r="K107" s="1"/>
    </row>
    <row r="108" spans="1:11" x14ac:dyDescent="0.3">
      <c r="A108" s="1"/>
      <c r="B108" s="1"/>
      <c r="C108" s="1"/>
      <c r="D108" s="1"/>
      <c r="E108" s="1"/>
      <c r="F108" s="1"/>
      <c r="G108" s="1"/>
      <c r="H108" s="1"/>
      <c r="I108" s="1"/>
      <c r="J108" s="1"/>
      <c r="K108" s="1"/>
    </row>
    <row r="109" spans="1:11" x14ac:dyDescent="0.3">
      <c r="A109" s="1"/>
      <c r="B109" s="1"/>
      <c r="C109" s="1"/>
      <c r="D109" s="1"/>
      <c r="E109" s="1"/>
      <c r="F109" s="1"/>
      <c r="G109" s="1"/>
      <c r="H109" s="1"/>
      <c r="I109" s="1"/>
      <c r="J109" s="1"/>
      <c r="K109" s="1"/>
    </row>
    <row r="110" spans="1:11" x14ac:dyDescent="0.3">
      <c r="A110" s="1"/>
      <c r="B110" s="1"/>
      <c r="C110" s="1"/>
      <c r="D110" s="1"/>
      <c r="E110" s="1"/>
      <c r="F110" s="1"/>
      <c r="G110" s="1"/>
      <c r="H110" s="1"/>
      <c r="I110" s="1"/>
      <c r="J110" s="1"/>
      <c r="K110" s="1"/>
    </row>
    <row r="111" spans="1:11" x14ac:dyDescent="0.3">
      <c r="A111" s="1"/>
      <c r="B111" s="1"/>
      <c r="C111" s="1"/>
      <c r="D111" s="1"/>
      <c r="E111" s="1"/>
      <c r="F111" s="1"/>
      <c r="G111" s="1"/>
      <c r="H111" s="1"/>
      <c r="I111" s="1"/>
      <c r="J111" s="1"/>
      <c r="K111" s="1"/>
    </row>
    <row r="112" spans="1:11" x14ac:dyDescent="0.3">
      <c r="A112" s="1"/>
      <c r="B112" s="1"/>
      <c r="C112" s="1"/>
      <c r="D112" s="1"/>
      <c r="E112" s="1"/>
      <c r="F112" s="1"/>
      <c r="G112" s="1"/>
      <c r="H112" s="1"/>
      <c r="I112" s="1"/>
      <c r="J112" s="1"/>
      <c r="K112" s="1"/>
    </row>
    <row r="113" spans="1:11" x14ac:dyDescent="0.3">
      <c r="A113" s="1"/>
      <c r="B113" s="1"/>
      <c r="C113" s="1"/>
      <c r="D113" s="1"/>
      <c r="E113" s="1"/>
      <c r="F113" s="1"/>
      <c r="G113" s="1"/>
      <c r="H113" s="1"/>
      <c r="I113" s="1"/>
      <c r="J113" s="1"/>
      <c r="K113" s="1"/>
    </row>
    <row r="114" spans="1:11" x14ac:dyDescent="0.3">
      <c r="A114" s="1"/>
      <c r="B114" s="1"/>
      <c r="C114" s="1"/>
      <c r="D114" s="1"/>
      <c r="E114" s="1"/>
      <c r="F114" s="1"/>
      <c r="G114" s="1"/>
      <c r="H114" s="1"/>
      <c r="I114" s="1"/>
      <c r="J114" s="1"/>
      <c r="K114" s="1"/>
    </row>
    <row r="115" spans="1:11" x14ac:dyDescent="0.3">
      <c r="A115" s="1"/>
      <c r="B115" s="1"/>
      <c r="C115" s="1"/>
      <c r="D115" s="1"/>
      <c r="E115" s="1"/>
      <c r="F115" s="1"/>
      <c r="G115" s="1"/>
      <c r="H115" s="1"/>
      <c r="I115" s="1"/>
      <c r="J115" s="1"/>
      <c r="K115" s="1"/>
    </row>
    <row r="116" spans="1:11" x14ac:dyDescent="0.3">
      <c r="A116" s="1"/>
      <c r="B116" s="1"/>
      <c r="C116" s="1"/>
      <c r="D116" s="1"/>
      <c r="E116" s="1"/>
      <c r="F116" s="1"/>
      <c r="G116" s="1"/>
      <c r="H116" s="1"/>
      <c r="I116" s="1"/>
      <c r="J116" s="1"/>
      <c r="K116" s="1"/>
    </row>
    <row r="117" spans="1:11" x14ac:dyDescent="0.3">
      <c r="A117" s="1"/>
      <c r="B117" s="1"/>
      <c r="C117" s="1"/>
      <c r="D117" s="1"/>
      <c r="E117" s="1"/>
      <c r="F117" s="1"/>
      <c r="G117" s="1"/>
      <c r="H117" s="1"/>
      <c r="I117" s="1"/>
      <c r="J117" s="1"/>
      <c r="K117" s="1"/>
    </row>
    <row r="118" spans="1:11" x14ac:dyDescent="0.3">
      <c r="A118" s="1"/>
      <c r="B118" s="1"/>
      <c r="C118" s="1"/>
      <c r="D118" s="1"/>
      <c r="E118" s="1"/>
      <c r="F118" s="1"/>
      <c r="G118" s="1"/>
      <c r="H118" s="1"/>
      <c r="I118" s="1"/>
      <c r="J118" s="1"/>
      <c r="K118" s="1"/>
    </row>
    <row r="119" spans="1:11" x14ac:dyDescent="0.3">
      <c r="A119" s="1"/>
      <c r="B119" s="1"/>
      <c r="C119" s="1"/>
      <c r="D119" s="1"/>
      <c r="E119" s="1"/>
      <c r="F119" s="1"/>
      <c r="G119" s="1"/>
      <c r="H119" s="1"/>
      <c r="I119" s="1"/>
      <c r="J119" s="1"/>
      <c r="K119" s="1"/>
    </row>
    <row r="120" spans="1:11" x14ac:dyDescent="0.3">
      <c r="A120" s="1"/>
      <c r="B120" s="1"/>
      <c r="C120" s="1"/>
      <c r="D120" s="1"/>
      <c r="E120" s="1"/>
      <c r="F120" s="1"/>
      <c r="G120" s="1"/>
      <c r="H120" s="1"/>
      <c r="I120" s="1"/>
      <c r="J120" s="1"/>
      <c r="K120" s="1"/>
    </row>
    <row r="121" spans="1:11" x14ac:dyDescent="0.3">
      <c r="A121" s="1"/>
      <c r="B121" s="1"/>
      <c r="C121" s="1"/>
      <c r="D121" s="1"/>
      <c r="E121" s="1"/>
      <c r="F121" s="1"/>
      <c r="G121" s="1"/>
      <c r="H121" s="1"/>
      <c r="I121" s="1"/>
      <c r="J121" s="1"/>
      <c r="K121" s="1"/>
    </row>
    <row r="122" spans="1:11" x14ac:dyDescent="0.3">
      <c r="A122" s="1"/>
      <c r="B122" s="1"/>
      <c r="C122" s="1"/>
      <c r="D122" s="1"/>
      <c r="E122" s="1"/>
      <c r="F122" s="1"/>
      <c r="G122" s="1"/>
      <c r="H122" s="1"/>
      <c r="I122" s="1"/>
      <c r="J122" s="1"/>
      <c r="K122" s="1"/>
    </row>
    <row r="123" spans="1:11" x14ac:dyDescent="0.3">
      <c r="A123" s="1"/>
      <c r="B123" s="1"/>
      <c r="C123" s="1"/>
      <c r="D123" s="1"/>
      <c r="E123" s="1"/>
      <c r="F123" s="1"/>
      <c r="G123" s="1"/>
      <c r="H123" s="1"/>
      <c r="I123" s="1"/>
      <c r="J123" s="1"/>
      <c r="K123" s="1"/>
    </row>
    <row r="124" spans="1:11" x14ac:dyDescent="0.3">
      <c r="A124" s="1"/>
      <c r="B124" s="1"/>
      <c r="C124" s="1"/>
      <c r="D124" s="1"/>
      <c r="E124" s="1"/>
      <c r="F124" s="1"/>
      <c r="G124" s="1"/>
      <c r="H124" s="1"/>
      <c r="I124" s="1"/>
      <c r="J124" s="1"/>
      <c r="K124" s="1"/>
    </row>
    <row r="125" spans="1:11" x14ac:dyDescent="0.3">
      <c r="A125" s="1"/>
      <c r="B125" s="1"/>
      <c r="C125" s="1"/>
      <c r="D125" s="1"/>
      <c r="E125" s="1"/>
      <c r="F125" s="1"/>
      <c r="G125" s="1"/>
      <c r="H125" s="1"/>
      <c r="I125" s="1"/>
      <c r="J125" s="1"/>
      <c r="K125" s="1"/>
    </row>
    <row r="126" spans="1:11" x14ac:dyDescent="0.3">
      <c r="A126" s="1"/>
      <c r="B126" s="1"/>
      <c r="C126" s="1"/>
      <c r="D126" s="1"/>
      <c r="E126" s="1"/>
      <c r="F126" s="1"/>
      <c r="G126" s="1"/>
      <c r="H126" s="1"/>
      <c r="I126" s="1"/>
      <c r="J126" s="1"/>
      <c r="K126" s="1"/>
    </row>
    <row r="127" spans="1:11" x14ac:dyDescent="0.3">
      <c r="A127" s="1"/>
      <c r="B127" s="1"/>
      <c r="C127" s="1"/>
      <c r="D127" s="1"/>
      <c r="E127" s="1"/>
      <c r="F127" s="1"/>
      <c r="G127" s="1"/>
      <c r="H127" s="1"/>
      <c r="I127" s="1"/>
      <c r="J127" s="1"/>
      <c r="K127" s="1"/>
    </row>
    <row r="128" spans="1:11" x14ac:dyDescent="0.3">
      <c r="A128" s="1"/>
      <c r="B128" s="1"/>
      <c r="C128" s="1"/>
      <c r="D128" s="1"/>
      <c r="E128" s="1"/>
      <c r="F128" s="1"/>
      <c r="G128" s="1"/>
      <c r="H128" s="1"/>
      <c r="I128" s="1"/>
      <c r="J128" s="1"/>
      <c r="K128" s="1"/>
    </row>
    <row r="129" spans="1:11" x14ac:dyDescent="0.3">
      <c r="A129" s="1"/>
      <c r="B129" s="1"/>
      <c r="C129" s="1"/>
      <c r="D129" s="1"/>
      <c r="E129" s="1"/>
      <c r="F129" s="1"/>
      <c r="G129" s="1"/>
      <c r="H129" s="1"/>
      <c r="I129" s="1"/>
      <c r="J129" s="1"/>
      <c r="K129" s="1"/>
    </row>
    <row r="130" spans="1:11" x14ac:dyDescent="0.3">
      <c r="A130" s="1"/>
      <c r="B130" s="1"/>
      <c r="C130" s="1"/>
      <c r="D130" s="1"/>
      <c r="E130" s="1"/>
      <c r="F130" s="1"/>
      <c r="G130" s="1"/>
      <c r="H130" s="1"/>
      <c r="I130" s="1"/>
      <c r="J130" s="1"/>
      <c r="K130" s="1"/>
    </row>
    <row r="131" spans="1:11" x14ac:dyDescent="0.3">
      <c r="A131" s="1"/>
      <c r="B131" s="1"/>
      <c r="C131" s="1"/>
      <c r="D131" s="1"/>
      <c r="E131" s="1"/>
      <c r="F131" s="1"/>
      <c r="G131" s="1"/>
      <c r="H131" s="1"/>
      <c r="I131" s="1"/>
      <c r="J131" s="1"/>
      <c r="K131" s="1"/>
    </row>
    <row r="132" spans="1:11" x14ac:dyDescent="0.3">
      <c r="A132" s="1"/>
      <c r="B132" s="1"/>
      <c r="C132" s="1"/>
      <c r="D132" s="1"/>
      <c r="E132" s="1"/>
      <c r="F132" s="1"/>
      <c r="G132" s="1"/>
      <c r="H132" s="1"/>
      <c r="I132" s="1"/>
      <c r="J132" s="1"/>
      <c r="K132" s="1"/>
    </row>
    <row r="133" spans="1:11" x14ac:dyDescent="0.3">
      <c r="A133" s="1"/>
      <c r="B133" s="1"/>
      <c r="C133" s="1"/>
      <c r="D133" s="1"/>
      <c r="E133" s="1"/>
      <c r="F133" s="1"/>
      <c r="G133" s="1"/>
      <c r="H133" s="1"/>
      <c r="I133" s="1"/>
      <c r="J133" s="1"/>
      <c r="K133" s="1"/>
    </row>
    <row r="134" spans="1:11" x14ac:dyDescent="0.3">
      <c r="A134" s="1"/>
      <c r="B134" s="1"/>
      <c r="C134" s="1"/>
      <c r="D134" s="1"/>
      <c r="E134" s="1"/>
      <c r="F134" s="1"/>
      <c r="G134" s="1"/>
      <c r="H134" s="1"/>
      <c r="I134" s="1"/>
      <c r="J134" s="1"/>
      <c r="K134" s="1"/>
    </row>
    <row r="135" spans="1:11" x14ac:dyDescent="0.3">
      <c r="A135" s="1"/>
      <c r="B135" s="1"/>
      <c r="C135" s="1"/>
      <c r="D135" s="1"/>
      <c r="E135" s="1"/>
      <c r="F135" s="1"/>
      <c r="G135" s="1"/>
      <c r="H135" s="1"/>
      <c r="I135" s="1"/>
      <c r="J135" s="1"/>
      <c r="K135" s="1"/>
    </row>
  </sheetData>
  <mergeCells count="1">
    <mergeCell ref="C3:J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2:C63"/>
  <sheetViews>
    <sheetView workbookViewId="0">
      <selection activeCell="C24" sqref="C24:C30"/>
    </sheetView>
  </sheetViews>
  <sheetFormatPr defaultColWidth="11" defaultRowHeight="15.6" x14ac:dyDescent="0.3"/>
  <cols>
    <col min="3" max="3" width="107" bestFit="1" customWidth="1"/>
  </cols>
  <sheetData>
    <row r="2" spans="3:3" x14ac:dyDescent="0.3">
      <c r="C2" s="76"/>
    </row>
    <row r="3" spans="3:3" ht="18" x14ac:dyDescent="0.35">
      <c r="C3" s="77" t="s">
        <v>90</v>
      </c>
    </row>
    <row r="4" spans="3:3" x14ac:dyDescent="0.3">
      <c r="C4" s="76"/>
    </row>
    <row r="5" spans="3:3" ht="93.6" x14ac:dyDescent="0.3">
      <c r="C5" s="76" t="s">
        <v>91</v>
      </c>
    </row>
    <row r="6" spans="3:3" x14ac:dyDescent="0.3">
      <c r="C6" s="78"/>
    </row>
    <row r="7" spans="3:3" x14ac:dyDescent="0.3">
      <c r="C7" s="76"/>
    </row>
    <row r="8" spans="3:3" x14ac:dyDescent="0.3">
      <c r="C8" s="79" t="s">
        <v>4</v>
      </c>
    </row>
    <row r="9" spans="3:3" x14ac:dyDescent="0.3">
      <c r="C9" s="92" t="s">
        <v>104</v>
      </c>
    </row>
    <row r="10" spans="3:3" x14ac:dyDescent="0.3">
      <c r="C10" s="93"/>
    </row>
    <row r="11" spans="3:3" x14ac:dyDescent="0.3">
      <c r="C11" s="93"/>
    </row>
    <row r="12" spans="3:3" x14ac:dyDescent="0.3">
      <c r="C12" s="93"/>
    </row>
    <row r="13" spans="3:3" x14ac:dyDescent="0.3">
      <c r="C13" s="93"/>
    </row>
    <row r="14" spans="3:3" x14ac:dyDescent="0.3">
      <c r="C14" s="93"/>
    </row>
    <row r="15" spans="3:3" x14ac:dyDescent="0.3">
      <c r="C15" s="93"/>
    </row>
    <row r="16" spans="3:3" x14ac:dyDescent="0.3">
      <c r="C16" s="76"/>
    </row>
    <row r="17" spans="3:3" ht="18" x14ac:dyDescent="0.35">
      <c r="C17" s="77" t="s">
        <v>92</v>
      </c>
    </row>
    <row r="18" spans="3:3" x14ac:dyDescent="0.3">
      <c r="C18" s="76"/>
    </row>
    <row r="19" spans="3:3" ht="62.4" x14ac:dyDescent="0.3">
      <c r="C19" s="78" t="s">
        <v>93</v>
      </c>
    </row>
    <row r="20" spans="3:3" ht="78" x14ac:dyDescent="0.3">
      <c r="C20" s="78" t="s">
        <v>94</v>
      </c>
    </row>
    <row r="21" spans="3:3" x14ac:dyDescent="0.3">
      <c r="C21" s="78"/>
    </row>
    <row r="22" spans="3:3" x14ac:dyDescent="0.3">
      <c r="C22" s="76"/>
    </row>
    <row r="23" spans="3:3" x14ac:dyDescent="0.3">
      <c r="C23" s="79" t="s">
        <v>5</v>
      </c>
    </row>
    <row r="24" spans="3:3" x14ac:dyDescent="0.3">
      <c r="C24" s="92" t="s">
        <v>103</v>
      </c>
    </row>
    <row r="25" spans="3:3" x14ac:dyDescent="0.3">
      <c r="C25" s="93"/>
    </row>
    <row r="26" spans="3:3" x14ac:dyDescent="0.3">
      <c r="C26" s="93"/>
    </row>
    <row r="27" spans="3:3" x14ac:dyDescent="0.3">
      <c r="C27" s="93"/>
    </row>
    <row r="28" spans="3:3" x14ac:dyDescent="0.3">
      <c r="C28" s="93"/>
    </row>
    <row r="29" spans="3:3" x14ac:dyDescent="0.3">
      <c r="C29" s="93"/>
    </row>
    <row r="30" spans="3:3" x14ac:dyDescent="0.3">
      <c r="C30" s="93"/>
    </row>
    <row r="31" spans="3:3" x14ac:dyDescent="0.3">
      <c r="C31" s="76"/>
    </row>
    <row r="32" spans="3:3" ht="18" x14ac:dyDescent="0.35">
      <c r="C32" s="77" t="s">
        <v>95</v>
      </c>
    </row>
    <row r="33" spans="3:3" x14ac:dyDescent="0.3">
      <c r="C33" s="76"/>
    </row>
    <row r="34" spans="3:3" ht="46.8" x14ac:dyDescent="0.3">
      <c r="C34" s="78" t="s">
        <v>96</v>
      </c>
    </row>
    <row r="35" spans="3:3" x14ac:dyDescent="0.3">
      <c r="C35" s="78"/>
    </row>
    <row r="36" spans="3:3" x14ac:dyDescent="0.3">
      <c r="C36" s="78"/>
    </row>
    <row r="37" spans="3:3" x14ac:dyDescent="0.3">
      <c r="C37" s="78"/>
    </row>
    <row r="38" spans="3:3" x14ac:dyDescent="0.3">
      <c r="C38" s="78"/>
    </row>
    <row r="39" spans="3:3" x14ac:dyDescent="0.3">
      <c r="C39" s="76"/>
    </row>
    <row r="40" spans="3:3" x14ac:dyDescent="0.3">
      <c r="C40" s="79" t="s">
        <v>6</v>
      </c>
    </row>
    <row r="41" spans="3:3" x14ac:dyDescent="0.3">
      <c r="C41" s="92" t="s">
        <v>102</v>
      </c>
    </row>
    <row r="42" spans="3:3" x14ac:dyDescent="0.3">
      <c r="C42" s="93"/>
    </row>
    <row r="43" spans="3:3" x14ac:dyDescent="0.3">
      <c r="C43" s="93"/>
    </row>
    <row r="44" spans="3:3" x14ac:dyDescent="0.3">
      <c r="C44" s="93"/>
    </row>
    <row r="45" spans="3:3" x14ac:dyDescent="0.3">
      <c r="C45" s="93"/>
    </row>
    <row r="46" spans="3:3" x14ac:dyDescent="0.3">
      <c r="C46" s="93"/>
    </row>
    <row r="47" spans="3:3" x14ac:dyDescent="0.3">
      <c r="C47" s="93"/>
    </row>
    <row r="48" spans="3:3" x14ac:dyDescent="0.3">
      <c r="C48" s="76"/>
    </row>
    <row r="49" spans="3:3" ht="18" x14ac:dyDescent="0.35">
      <c r="C49" s="77" t="s">
        <v>97</v>
      </c>
    </row>
    <row r="50" spans="3:3" x14ac:dyDescent="0.3">
      <c r="C50" s="76"/>
    </row>
    <row r="51" spans="3:3" x14ac:dyDescent="0.3">
      <c r="C51" t="s">
        <v>98</v>
      </c>
    </row>
    <row r="52" spans="3:3" x14ac:dyDescent="0.3">
      <c r="C52" t="s">
        <v>99</v>
      </c>
    </row>
    <row r="53" spans="3:3" x14ac:dyDescent="0.3">
      <c r="C53" s="78"/>
    </row>
    <row r="54" spans="3:3" x14ac:dyDescent="0.3">
      <c r="C54" s="76"/>
    </row>
    <row r="55" spans="3:3" x14ac:dyDescent="0.3">
      <c r="C55" s="79" t="s">
        <v>11</v>
      </c>
    </row>
    <row r="56" spans="3:3" x14ac:dyDescent="0.3">
      <c r="C56" s="92" t="s">
        <v>101</v>
      </c>
    </row>
    <row r="57" spans="3:3" x14ac:dyDescent="0.3">
      <c r="C57" s="93"/>
    </row>
    <row r="58" spans="3:3" x14ac:dyDescent="0.3">
      <c r="C58" s="93"/>
    </row>
    <row r="59" spans="3:3" x14ac:dyDescent="0.3">
      <c r="C59" s="93"/>
    </row>
    <row r="60" spans="3:3" x14ac:dyDescent="0.3">
      <c r="C60" s="93"/>
    </row>
    <row r="61" spans="3:3" x14ac:dyDescent="0.3">
      <c r="C61" s="93"/>
    </row>
    <row r="62" spans="3:3" x14ac:dyDescent="0.3">
      <c r="C62" s="93"/>
    </row>
    <row r="63" spans="3:3" x14ac:dyDescent="0.3">
      <c r="C63" s="76"/>
    </row>
  </sheetData>
  <mergeCells count="4">
    <mergeCell ref="C9:C15"/>
    <mergeCell ref="C24:C30"/>
    <mergeCell ref="C41:C47"/>
    <mergeCell ref="C56:C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Answers</vt:lpstr>
      <vt:lpstr>1</vt:lpstr>
      <vt:lpstr>2</vt:lpstr>
      <vt:lpstr>3</vt:lpstr>
      <vt:lpstr>4</vt:lpstr>
      <vt:lpstr>5</vt:lpstr>
      <vt:lpstr>6</vt:lpstr>
      <vt:lpstr>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2024-11-22T13:13:28Z</dcterms:created>
  <dcterms:modified xsi:type="dcterms:W3CDTF">2026-04-26T12:10:05Z</dcterms:modified>
  <cp:category/>
  <cp:contentStatus/>
</cp:coreProperties>
</file>